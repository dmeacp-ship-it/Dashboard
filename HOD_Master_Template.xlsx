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70675c0158429bb/Desktop/APPS/Dashboard/"/>
    </mc:Choice>
  </mc:AlternateContent>
  <xr:revisionPtr revIDLastSave="4" documentId="11_AB558F3FE0356C80DC26C029A3FD2AADBC76D6E6" xr6:coauthVersionLast="47" xr6:coauthVersionMax="47" xr10:uidLastSave="{D57A1220-211B-4E66-87F1-32A4350A8E35}"/>
  <bookViews>
    <workbookView xWindow="-120" yWindow="-120" windowWidth="29040" windowHeight="15720" activeTab="3" xr2:uid="{00000000-000D-0000-FFFF-FFFF00000000}"/>
  </bookViews>
  <sheets>
    <sheet name="START HERE" sheetId="1" r:id="rId1"/>
    <sheet name="HOD_MASTER" sheetId="2" r:id="rId2"/>
    <sheet name="STATE_MASTER" sheetId="3" r:id="rId3"/>
    <sheet name="SALES_PER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2" l="1"/>
  <c r="C50" i="2"/>
  <c r="C49" i="2"/>
</calcChain>
</file>

<file path=xl/sharedStrings.xml><?xml version="1.0" encoding="utf-8"?>
<sst xmlns="http://schemas.openxmlformats.org/spreadsheetml/2006/main" count="590" uniqueCount="315">
  <si>
    <t>HOD Master — data clean-up template</t>
  </si>
  <si>
    <t>Why this exists</t>
  </si>
  <si>
    <t>"HOD NAME" is typed as free text onto every transaction row, across three RAW DATA sheets and</t>
  </si>
  <si>
    <t>TARGET_DATA. 45 different spellings now exist for roughly 28 real people. Reports split one person</t>
  </si>
  <si>
    <t>into several rows, and the dashboard needs hand-written patches to merge them back.</t>
  </si>
  <si>
    <t>This file becomes the single list every sheet validates against, so the drift stops at entry.</t>
  </si>
  <si>
    <t>What to do</t>
  </si>
  <si>
    <t>1.  Open the HOD_MASTER tab. Every name currently in your data is already listed.</t>
  </si>
  <si>
    <t>2.  Only YELLOW cells need your attention. Grey cells are read-only reference pulled from live data.</t>
  </si>
  <si>
    <t>3.  Check column C (Canonical Name) — I grouped variants by guesswork. Correct anything wrong.</t>
  </si>
  <si>
    <t>4.  Rows flagged in column L are variants I merged. Confirm each one.</t>
  </si>
  <si>
    <t>5.  Fill column D (Territory) where a person covers more than one area.</t>
  </si>
  <si>
    <t>6.  Set column E to No for anything that is not a real person (e.g. "UTTAR PRADESH - 1").</t>
  </si>
  <si>
    <t>7.  Fill column J (Active From). Leave K blank unless someone has left or changed territory.</t>
  </si>
  <si>
    <t>The key decision</t>
  </si>
  <si>
    <t>Is an HOD a PERSON, or a PERSON-PLUS-TERRITORY?</t>
  </si>
  <si>
    <t>PRADIPTA BANERJEE appears as NE, OD and WB — one person, three real territories with real volume.</t>
  </si>
  <si>
    <t xml:space="preserve">  •  Same Code for all three  -&gt; reports roll up to the person; territory stays in column D.</t>
  </si>
  <si>
    <t xml:space="preserve">  •  Different Code for each  -&gt; territories stay separate, the person appears three times.</t>
  </si>
  <si>
    <t>You can have both if you keep the Code shared and the Territory filled — that is the default here.</t>
  </si>
  <si>
    <t>Colour key</t>
  </si>
  <si>
    <t xml:space="preserve">   YELLOW  = you fill or correct this</t>
  </si>
  <si>
    <t xml:space="preserve">   GREY    = read-only, pulled from your live data to help you decide</t>
  </si>
  <si>
    <t xml:space="preserve">   BLUE    = an example row showing the expected format (delete it before use)</t>
  </si>
  <si>
    <t>Watch for</t>
  </si>
  <si>
    <t>SUMITH V THOMAS = 32,00,305 sqft but SUMITH V THOMAS (TN) = 3,031 sqft. That looks like a typo</t>
  </si>
  <si>
    <t>that captured a handful of rows, not a real second territory. Column H shows volume for exactly</t>
  </si>
  <si>
    <t>this reason — a tiny number next to a large one usually means a stray spelling.</t>
  </si>
  <si>
    <t>When you are done</t>
  </si>
  <si>
    <t>Send it back. I will load it into a hod_master table, join the dashboard on Code instead of name,</t>
  </si>
  <si>
    <t>and add a sync check that rejects any HOD not on this list — so bad spellings can never enter again.</t>
  </si>
  <si>
    <t>Code</t>
  </si>
  <si>
    <t>Raw Name In Data (read-only)</t>
  </si>
  <si>
    <t>Canonical Name</t>
  </si>
  <si>
    <t>Territory</t>
  </si>
  <si>
    <t>Is Person?</t>
  </si>
  <si>
    <t>States Seen (read-only)</t>
  </si>
  <si>
    <t>Zone (read-only)</t>
  </si>
  <si>
    <t>Total SqFt (read-only)</t>
  </si>
  <si>
    <t>Seen In (read-only)</t>
  </si>
  <si>
    <t>Active From</t>
  </si>
  <si>
    <t>Active To</t>
  </si>
  <si>
    <t>Action / Notes</t>
  </si>
  <si>
    <t>HOD-000</t>
  </si>
  <si>
    <t>EXAMPLE - DELETE THIS ROW</t>
  </si>
  <si>
    <t>Rajnish Singh</t>
  </si>
  <si>
    <t>Noida</t>
  </si>
  <si>
    <t>Yes</t>
  </si>
  <si>
    <t>UTTAR PRADESH</t>
  </si>
  <si>
    <t>North</t>
  </si>
  <si>
    <t>sales</t>
  </si>
  <si>
    <t>2024-04-01</t>
  </si>
  <si>
    <t>Example of the expected format</t>
  </si>
  <si>
    <t>HOD-001</t>
  </si>
  <si>
    <t>AKASH JAWALE</t>
  </si>
  <si>
    <t>HIMACHAL PRADESH, MAHARASHTRA</t>
  </si>
  <si>
    <t>NORTH, WEST</t>
  </si>
  <si>
    <t>outstanding+sales</t>
  </si>
  <si>
    <t>HOD-002</t>
  </si>
  <si>
    <t>ANKIT KUMAR</t>
  </si>
  <si>
    <t>GOA, KARNATAKA</t>
  </si>
  <si>
    <t>SOUTH, WEST</t>
  </si>
  <si>
    <t>HOD-003</t>
  </si>
  <si>
    <t>ARPAN NATH</t>
  </si>
  <si>
    <t>WEST BENGAL</t>
  </si>
  <si>
    <t>EAST 1</t>
  </si>
  <si>
    <t>targets</t>
  </si>
  <si>
    <t>HOD-004</t>
  </si>
  <si>
    <t>BHARAT LAL GURJAR</t>
  </si>
  <si>
    <t>DELHI, HARYANA, MANIPUR, RAJASTHAN, UTTAR PRADESH</t>
  </si>
  <si>
    <t>EAST, NORTH</t>
  </si>
  <si>
    <t>BHARAT LAL GURJAR (PROJECT)</t>
  </si>
  <si>
    <t>PROJECT</t>
  </si>
  <si>
    <t>DELHI, HARYANA, MANIPUR, UTTAR PRADESH</t>
  </si>
  <si>
    <t>REVIEW - variant of BHARAT LAL GURJAR</t>
  </si>
  <si>
    <t>BHARAT LAL GURJAR - MP</t>
  </si>
  <si>
    <t>MP</t>
  </si>
  <si>
    <t>MADHYA PRADESH</t>
  </si>
  <si>
    <t>CENTRAL</t>
  </si>
  <si>
    <t>HOD-005</t>
  </si>
  <si>
    <t>BIKASH KR JHA</t>
  </si>
  <si>
    <t>NORTH EAST</t>
  </si>
  <si>
    <t>HOD-006</t>
  </si>
  <si>
    <t>DINESH P GOTHI</t>
  </si>
  <si>
    <t>GUJARAT</t>
  </si>
  <si>
    <t>WEST</t>
  </si>
  <si>
    <t>HOD-007</t>
  </si>
  <si>
    <t>DINESH PRABHUBHAI GOTHI</t>
  </si>
  <si>
    <t>HOD-008</t>
  </si>
  <si>
    <t>EKANSHU KHURANA</t>
  </si>
  <si>
    <t>Australia, DELHI, GUJARAT, HARYANA, MAHARASHTRA, UNITED ARAB EMIRATES, UTTAR PRADESH</t>
  </si>
  <si>
    <t>INTERNATIONAL, NORTH, WEST</t>
  </si>
  <si>
    <t>HOD-009</t>
  </si>
  <si>
    <t>EXPORT NEPAL</t>
  </si>
  <si>
    <t>NEPAL</t>
  </si>
  <si>
    <t>INTERNATIONAL</t>
  </si>
  <si>
    <t>HOD-010</t>
  </si>
  <si>
    <t>GAUTAM KUMAR</t>
  </si>
  <si>
    <t>BIHAR, WEST BENGAL</t>
  </si>
  <si>
    <t>EAST, EAST 2</t>
  </si>
  <si>
    <t>outstanding+sales+targets</t>
  </si>
  <si>
    <t>HOD-011</t>
  </si>
  <si>
    <t>HEAD OFFICE</t>
  </si>
  <si>
    <t>ASSAM, BANGLADESH, DELHI, GUJARAT, HARYANA, MADHYA PRADESH, MAHARASHTRA, PUNJAB, RAJASTHAN, TELANGANA, UTTAR PRADESH, WEST BENGAL</t>
  </si>
  <si>
    <t>CENTRAL, EAST, INTERNATIONAL, NORTH, SOUTH, WEST</t>
  </si>
  <si>
    <t>HOD-012</t>
  </si>
  <si>
    <t>HITESH RAMESH JAIN</t>
  </si>
  <si>
    <t>DELHI, HARYANA, KARNATAKA, MADHYA PRADESH, MAHARASHTRA, UTTAR PRADESH</t>
  </si>
  <si>
    <t>CENTRAL, NORTH, SOUTH, WEST</t>
  </si>
  <si>
    <t>HOD-013</t>
  </si>
  <si>
    <t>KIRAN KUMAR</t>
  </si>
  <si>
    <t>ANDHRA PRADESH, TELANGANA</t>
  </si>
  <si>
    <t>SOUTH</t>
  </si>
  <si>
    <t>HOD-014</t>
  </si>
  <si>
    <t>LAKSHAMANA M</t>
  </si>
  <si>
    <t>MAHARASHTRA, PONDICHERRY, TAMIL NADU, TELANGANA</t>
  </si>
  <si>
    <t>HOD-015</t>
  </si>
  <si>
    <t>MALIK MD ASLAM</t>
  </si>
  <si>
    <t>MAHARASHTRA, UTTAR PRADESH</t>
  </si>
  <si>
    <t>HOD-016</t>
  </si>
  <si>
    <t>MANJIT KR SINGH JH</t>
  </si>
  <si>
    <t>JHARKHAND</t>
  </si>
  <si>
    <t>EAST</t>
  </si>
  <si>
    <t>MANJIT KR SINGH BIHAR</t>
  </si>
  <si>
    <t>REVIEW - variant of MANJIT KR SINGH JH</t>
  </si>
  <si>
    <t>HOD-017</t>
  </si>
  <si>
    <t>MUNIR AHMAD SHAH-J&amp;K</t>
  </si>
  <si>
    <t>MUNIR AHMAD SHAH</t>
  </si>
  <si>
    <t>J&amp;K</t>
  </si>
  <si>
    <t>JAMMU &amp; KASHMIR</t>
  </si>
  <si>
    <t>NORTH</t>
  </si>
  <si>
    <t>REVIEW - variant of MUNIR AHMAD SHAH</t>
  </si>
  <si>
    <t>HOD-018</t>
  </si>
  <si>
    <t>PRADEEP KUMAR</t>
  </si>
  <si>
    <t>HARYANA, PUNJAB</t>
  </si>
  <si>
    <t>HOD-019</t>
  </si>
  <si>
    <t>PRADIPTA BANERJEE WB</t>
  </si>
  <si>
    <t>PRADIPTA BANERJEE NE</t>
  </si>
  <si>
    <t>ASSAM, BIHAR, SIKKIM, WEST BENGAL</t>
  </si>
  <si>
    <t>REVIEW - variant of PRADIPTA BANERJEE NE</t>
  </si>
  <si>
    <t>ARUNACHAL PRADESH, ASSAM, MIZORAM, NAGALAND</t>
  </si>
  <si>
    <t>PRADIPTA BANERJEE OD</t>
  </si>
  <si>
    <t>ODISHA</t>
  </si>
  <si>
    <t>HOD-020</t>
  </si>
  <si>
    <t>RAJNISH SINGH - N</t>
  </si>
  <si>
    <t>RAJNISH SINGH - D</t>
  </si>
  <si>
    <t>DELHI, NOIDA, UTTAR PRADESH</t>
  </si>
  <si>
    <t>REVIEW - variant of RAJNISH SINGH - D</t>
  </si>
  <si>
    <t>RAJNISH SINGH - G</t>
  </si>
  <si>
    <t>GURGAON &amp; FBD, HARYANA, UTTAR PRADESH</t>
  </si>
  <si>
    <t>DELHI, HARYANA, RAJASTHAN</t>
  </si>
  <si>
    <t>HOD-021</t>
  </si>
  <si>
    <t>RAVI KUMAR</t>
  </si>
  <si>
    <t>TAMIL NADU</t>
  </si>
  <si>
    <t>HOD-022</t>
  </si>
  <si>
    <t>RVDNS VARA PRASAD</t>
  </si>
  <si>
    <t>HOD-023</t>
  </si>
  <si>
    <t>SAHIL MEHRA-P</t>
  </si>
  <si>
    <t>SAHIL MEHRA</t>
  </si>
  <si>
    <t>P</t>
  </si>
  <si>
    <t>PUNJAB</t>
  </si>
  <si>
    <t>REVIEW - variant of SAHIL MEHRA</t>
  </si>
  <si>
    <t>HOD-024</t>
  </si>
  <si>
    <t>SANJEEV PANDEY</t>
  </si>
  <si>
    <t>CHANDIGARH, Chandigarh, HARYANA, HIMACHAL PRADESH, PUNJAB, TRICITY</t>
  </si>
  <si>
    <t>HOD-025</t>
  </si>
  <si>
    <t>SHUBHASH SINGH</t>
  </si>
  <si>
    <t>CHHATTISGARH, MADHYA PRADESH</t>
  </si>
  <si>
    <t>HOD-026</t>
  </si>
  <si>
    <t>SOMNATH MISHRA</t>
  </si>
  <si>
    <t>BIHAR, JHARKHAND, TAMIL NADU, WEST BENGAL</t>
  </si>
  <si>
    <t>EAST, EAST 2, SOUTH</t>
  </si>
  <si>
    <t>HOD-027</t>
  </si>
  <si>
    <t>SUDHANSHU MAHRANA</t>
  </si>
  <si>
    <t>HOD-028</t>
  </si>
  <si>
    <t>SUMITH V THOMAS</t>
  </si>
  <si>
    <t>KERALA, TAMIL NADU</t>
  </si>
  <si>
    <t>SUMITH V THOMAS (TN)</t>
  </si>
  <si>
    <t>TN</t>
  </si>
  <si>
    <t>REVIEW - variant of SUMITH V THOMAS</t>
  </si>
  <si>
    <t>HOD-029</t>
  </si>
  <si>
    <t>SURESH SHARMA</t>
  </si>
  <si>
    <t>DELHI, HARYANA, MADHYA PRADESH, RAJASTHAN, UTTAR PRADESH</t>
  </si>
  <si>
    <t>CENTRAL, NORTH</t>
  </si>
  <si>
    <t>HOD-030</t>
  </si>
  <si>
    <t>SURJAN PARMAR</t>
  </si>
  <si>
    <t>HOD-031</t>
  </si>
  <si>
    <t>Unassigned</t>
  </si>
  <si>
    <t>No</t>
  </si>
  <si>
    <t>outstanding</t>
  </si>
  <si>
    <t>HOD-032</t>
  </si>
  <si>
    <t>UTTAR PRADESH - 2</t>
  </si>
  <si>
    <t>UTTAR PRADESH - 1</t>
  </si>
  <si>
    <t>REVIEW - variant of UTTAR PRADESH - 1</t>
  </si>
  <si>
    <t>UTTAR PRADESH, UTTARAKHAND</t>
  </si>
  <si>
    <t>UTTAR PRADESH - 3</t>
  </si>
  <si>
    <t>HOD-033</t>
  </si>
  <si>
    <t>VIKRANT SHARMA</t>
  </si>
  <si>
    <t>CHANDIGARH, Chandigarh, HARYANA, HIMACHAL PRADESH, PUNJAB</t>
  </si>
  <si>
    <t>Rows to review:</t>
  </si>
  <si>
    <t>Distinct codes:</t>
  </si>
  <si>
    <t>Raw names total:</t>
  </si>
  <si>
    <t>Source: pulled from vw_hod_agg, vw_outstanding_hod and target_master.</t>
  </si>
  <si>
    <t>Raw State In Data (read-only)</t>
  </si>
  <si>
    <t>Canonical State</t>
  </si>
  <si>
    <t>Zone</t>
  </si>
  <si>
    <t>Notes</t>
  </si>
  <si>
    <t>West</t>
  </si>
  <si>
    <t>Example row</t>
  </si>
  <si>
    <t>ANDHRA PRADESH</t>
  </si>
  <si>
    <t>ARUNACHAL PRADESH</t>
  </si>
  <si>
    <t>ASSAM</t>
  </si>
  <si>
    <t>Australia</t>
  </si>
  <si>
    <t>BANGLADESH</t>
  </si>
  <si>
    <t>BIHAR</t>
  </si>
  <si>
    <t>Chandigarh</t>
  </si>
  <si>
    <t>CHANDIGARH</t>
  </si>
  <si>
    <t>CHHATTISGARH</t>
  </si>
  <si>
    <t>DELHI</t>
  </si>
  <si>
    <t>GOA</t>
  </si>
  <si>
    <t>HARYANA</t>
  </si>
  <si>
    <t>HIMACHAL PRADESH</t>
  </si>
  <si>
    <t>KARNATAKA</t>
  </si>
  <si>
    <t>KERALA</t>
  </si>
  <si>
    <t>MAHARASHTRA</t>
  </si>
  <si>
    <t>MANIPUR</t>
  </si>
  <si>
    <t>MIZORAM</t>
  </si>
  <si>
    <t>NAGALAND</t>
  </si>
  <si>
    <t>PONDICHERRY</t>
  </si>
  <si>
    <t>RAJASTHAN</t>
  </si>
  <si>
    <t>SIKKIM</t>
  </si>
  <si>
    <t>TELANGANA</t>
  </si>
  <si>
    <t>UNITED ARAB EMIRATES</t>
  </si>
  <si>
    <t>UTTARAKHAND</t>
  </si>
  <si>
    <t>Column B is pre-filled with the raw value — change only where two spellings mean the same state.</t>
  </si>
  <si>
    <t>Sales Person (read-only)</t>
  </si>
  <si>
    <t>Reports To (HOD Code)</t>
  </si>
  <si>
    <t>Optional — only needed if you later want to drop the HOD column from RAW DATA</t>
  </si>
  <si>
    <t>ABHISHEK MISHRA</t>
  </si>
  <si>
    <t>ABHISHEK UPADHYAY</t>
  </si>
  <si>
    <t>ABHISHEK VERMA</t>
  </si>
  <si>
    <t>AIJAZ MAQSOOD</t>
  </si>
  <si>
    <t>AKSHAY MADAAN</t>
  </si>
  <si>
    <t>ANIL PAREEK</t>
  </si>
  <si>
    <t>ANUBHAV VERMANI</t>
  </si>
  <si>
    <t>ARMAN</t>
  </si>
  <si>
    <t>ARYAN SINGH</t>
  </si>
  <si>
    <t>ASHISH KUMAR</t>
  </si>
  <si>
    <t>ASHOK GOSWAMI</t>
  </si>
  <si>
    <t>ATHARV TYAGI</t>
  </si>
  <si>
    <t>Abhilash T G</t>
  </si>
  <si>
    <t>BIPIN KUMAR</t>
  </si>
  <si>
    <t>DIGVIJAY ZALA</t>
  </si>
  <si>
    <t>DIPAK PARMAR</t>
  </si>
  <si>
    <t>GANESH KUMAR</t>
  </si>
  <si>
    <t>GANESWAR MOHANTY</t>
  </si>
  <si>
    <t>GOVIND CHAUHAN</t>
  </si>
  <si>
    <t>HEMANT RAJPUT</t>
  </si>
  <si>
    <t>HIRA LAL</t>
  </si>
  <si>
    <t>JAYESH RINWA</t>
  </si>
  <si>
    <t>JOYDEB MONDAL</t>
  </si>
  <si>
    <t>KETAN PATEL</t>
  </si>
  <si>
    <t>MAHMOOD ALAM</t>
  </si>
  <si>
    <t>MANI GARG</t>
  </si>
  <si>
    <t>MANISH KUMAR SHARMA</t>
  </si>
  <si>
    <t>MAUSAM KUMAR</t>
  </si>
  <si>
    <t>MD SALEHEEN</t>
  </si>
  <si>
    <t>MOHD AJMAL SHEIKH</t>
  </si>
  <si>
    <t>MOHIT KUMAR</t>
  </si>
  <si>
    <t>MONU SINGH</t>
  </si>
  <si>
    <t>MUKESH JAT</t>
  </si>
  <si>
    <t>MUKESH KUMAR</t>
  </si>
  <si>
    <t>NARENDRA KUMAR</t>
  </si>
  <si>
    <t>NISHI</t>
  </si>
  <si>
    <t>PANKAJ KUMAR</t>
  </si>
  <si>
    <t>PARAMDEEP SINGH</t>
  </si>
  <si>
    <t>PAWAN BHARDWAJ</t>
  </si>
  <si>
    <t>PRADIPTA BANERJEE (NE)</t>
  </si>
  <si>
    <t>RAHUL SOLANKI</t>
  </si>
  <si>
    <t>RAJESH SHARMA</t>
  </si>
  <si>
    <t>RAJKUMAR GOYAL</t>
  </si>
  <si>
    <t>RAKESH GUPTA</t>
  </si>
  <si>
    <t>RAVI</t>
  </si>
  <si>
    <t>RAVINDER MOURYA</t>
  </si>
  <si>
    <t>RISHI PATEL</t>
  </si>
  <si>
    <t>ROHIT</t>
  </si>
  <si>
    <t>SACHIN</t>
  </si>
  <si>
    <t>SAGAR CHOWDHURY</t>
  </si>
  <si>
    <t>SANDEEP</t>
  </si>
  <si>
    <t>SANDEEP KARMAKAR</t>
  </si>
  <si>
    <t>SANJAY</t>
  </si>
  <si>
    <t>SANJIB CHANDRA DAS</t>
  </si>
  <si>
    <t>SANTOSH MISHRA</t>
  </si>
  <si>
    <t>SATNAM SINGH</t>
  </si>
  <si>
    <t>SATYENDRA</t>
  </si>
  <si>
    <t>SHANTI RANJAN PANIGRAHI</t>
  </si>
  <si>
    <t>SHAURABH PATEL</t>
  </si>
  <si>
    <t>SHIVAM YADAV</t>
  </si>
  <si>
    <t>SHUBHAM MANOCHA</t>
  </si>
  <si>
    <t>SOUMYAJIT GHOSH</t>
  </si>
  <si>
    <t>SUDANSHU SHEKAR MAHARANA</t>
  </si>
  <si>
    <t>VACANCY</t>
  </si>
  <si>
    <t>VACANCY (KOLKATA 2)</t>
  </si>
  <si>
    <t>VACANCY SAMBALPUR</t>
  </si>
  <si>
    <t>VACANT</t>
  </si>
  <si>
    <t>VACANT (HIMACHAL)</t>
  </si>
  <si>
    <t>VACANT (TRI CITY)</t>
  </si>
  <si>
    <t>VACANT ARCHITECT</t>
  </si>
  <si>
    <t>VACANT(AMIT BAGHEL)</t>
  </si>
  <si>
    <t>VIKRAM PARTAP</t>
  </si>
  <si>
    <t>VINAY NAYI</t>
  </si>
  <si>
    <t>VINAY SHAH</t>
  </si>
  <si>
    <t>VINOD SAINI</t>
  </si>
  <si>
    <t>VISHAL SONI</t>
  </si>
  <si>
    <t>YOUSUF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</si>
</sst>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10"/>
      <color rgb="FF000000"/>
      <name val="Arial"/>
    </font>
    <font>
      <b/>
      <sz val="12"/>
      <color rgb="FF1F3864"/>
      <name val="Arial"/>
    </font>
    <font>
      <b/>
      <sz val="12"/>
      <color rgb="FFC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sz val="10"/>
      <color rgb="FF808080"/>
      <name val="Arial"/>
    </font>
    <font>
      <b/>
      <sz val="10"/>
      <color rgb="FFC0000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3" borderId="1" xfId="0" applyFont="1" applyFill="1" applyBorder="1"/>
    <xf numFmtId="3" fontId="7" fillId="3" borderId="1" xfId="0" applyNumberFormat="1" applyFont="1" applyFill="1" applyBorder="1"/>
    <xf numFmtId="0" fontId="8" fillId="4" borderId="1" xfId="0" applyFont="1" applyFill="1" applyBorder="1"/>
    <xf numFmtId="0" fontId="9" fillId="5" borderId="1" xfId="0" applyFont="1" applyFill="1" applyBorder="1"/>
    <xf numFmtId="3" fontId="9" fillId="5" borderId="1" xfId="0" applyNumberFormat="1" applyFont="1" applyFill="1" applyBorder="1"/>
    <xf numFmtId="0" fontId="10" fillId="4" borderId="1" xfId="0" applyFont="1" applyFill="1" applyBorder="1"/>
    <xf numFmtId="0" fontId="11" fillId="0" borderId="0" xfId="0" applyFont="1"/>
    <xf numFmtId="0" fontId="9" fillId="0" borderId="0" xfId="0" applyFont="1"/>
    <xf numFmtId="0" fontId="6" fillId="2" borderId="0" xfId="0" applyFont="1" applyFill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8"/>
  <sheetViews>
    <sheetView topLeftCell="A13" workbookViewId="0"/>
  </sheetViews>
  <sheetFormatPr defaultRowHeight="15" x14ac:dyDescent="0.25"/>
  <cols>
    <col min="1" max="1" width="3" customWidth="1"/>
    <col min="2" max="2" width="108" customWidth="1"/>
  </cols>
  <sheetData>
    <row r="1" spans="2:2" ht="20.25" x14ac:dyDescent="0.3">
      <c r="B1" s="1" t="s">
        <v>0</v>
      </c>
    </row>
    <row r="2" spans="2:2" x14ac:dyDescent="0.25">
      <c r="B2" s="2"/>
    </row>
    <row r="3" spans="2:2" ht="15.75" x14ac:dyDescent="0.25">
      <c r="B3" s="3" t="s">
        <v>1</v>
      </c>
    </row>
    <row r="4" spans="2:2" x14ac:dyDescent="0.25">
      <c r="B4" s="2" t="s">
        <v>2</v>
      </c>
    </row>
    <row r="5" spans="2:2" x14ac:dyDescent="0.25">
      <c r="B5" s="2" t="s">
        <v>3</v>
      </c>
    </row>
    <row r="6" spans="2:2" x14ac:dyDescent="0.25">
      <c r="B6" s="2" t="s">
        <v>4</v>
      </c>
    </row>
    <row r="7" spans="2:2" x14ac:dyDescent="0.25">
      <c r="B7" s="2"/>
    </row>
    <row r="8" spans="2:2" x14ac:dyDescent="0.25">
      <c r="B8" s="2" t="s">
        <v>5</v>
      </c>
    </row>
    <row r="9" spans="2:2" x14ac:dyDescent="0.25">
      <c r="B9" s="2"/>
    </row>
    <row r="10" spans="2:2" ht="15.75" x14ac:dyDescent="0.25">
      <c r="B10" s="3" t="s">
        <v>6</v>
      </c>
    </row>
    <row r="11" spans="2:2" x14ac:dyDescent="0.25">
      <c r="B11" s="2" t="s">
        <v>7</v>
      </c>
    </row>
    <row r="12" spans="2:2" x14ac:dyDescent="0.25">
      <c r="B12" s="2" t="s">
        <v>8</v>
      </c>
    </row>
    <row r="13" spans="2:2" x14ac:dyDescent="0.25">
      <c r="B13" s="2" t="s">
        <v>9</v>
      </c>
    </row>
    <row r="14" spans="2:2" x14ac:dyDescent="0.25">
      <c r="B14" s="2" t="s">
        <v>10</v>
      </c>
    </row>
    <row r="15" spans="2:2" x14ac:dyDescent="0.25">
      <c r="B15" s="2" t="s">
        <v>11</v>
      </c>
    </row>
    <row r="16" spans="2:2" x14ac:dyDescent="0.25">
      <c r="B16" s="2" t="s">
        <v>12</v>
      </c>
    </row>
    <row r="17" spans="2:2" x14ac:dyDescent="0.25">
      <c r="B17" s="2" t="s">
        <v>13</v>
      </c>
    </row>
    <row r="18" spans="2:2" x14ac:dyDescent="0.25">
      <c r="B18" s="2"/>
    </row>
    <row r="19" spans="2:2" ht="15.75" x14ac:dyDescent="0.25">
      <c r="B19" s="4" t="s">
        <v>14</v>
      </c>
    </row>
    <row r="20" spans="2:2" x14ac:dyDescent="0.25">
      <c r="B20" s="5" t="s">
        <v>15</v>
      </c>
    </row>
    <row r="21" spans="2:2" x14ac:dyDescent="0.25">
      <c r="B21" s="2" t="s">
        <v>16</v>
      </c>
    </row>
    <row r="22" spans="2:2" x14ac:dyDescent="0.25">
      <c r="B22" s="2" t="s">
        <v>17</v>
      </c>
    </row>
    <row r="23" spans="2:2" x14ac:dyDescent="0.25">
      <c r="B23" s="2" t="s">
        <v>18</v>
      </c>
    </row>
    <row r="24" spans="2:2" x14ac:dyDescent="0.25">
      <c r="B24" s="2" t="s">
        <v>19</v>
      </c>
    </row>
    <row r="25" spans="2:2" x14ac:dyDescent="0.25">
      <c r="B25" s="2"/>
    </row>
    <row r="26" spans="2:2" ht="15.75" x14ac:dyDescent="0.25">
      <c r="B26" s="3" t="s">
        <v>20</v>
      </c>
    </row>
    <row r="27" spans="2:2" x14ac:dyDescent="0.25">
      <c r="B27" s="2" t="s">
        <v>21</v>
      </c>
    </row>
    <row r="28" spans="2:2" x14ac:dyDescent="0.25">
      <c r="B28" s="2" t="s">
        <v>22</v>
      </c>
    </row>
    <row r="29" spans="2:2" x14ac:dyDescent="0.25">
      <c r="B29" s="2" t="s">
        <v>23</v>
      </c>
    </row>
    <row r="30" spans="2:2" x14ac:dyDescent="0.25">
      <c r="B30" s="2"/>
    </row>
    <row r="31" spans="2:2" ht="15.75" x14ac:dyDescent="0.25">
      <c r="B31" s="4" t="s">
        <v>24</v>
      </c>
    </row>
    <row r="32" spans="2:2" x14ac:dyDescent="0.25">
      <c r="B32" s="2" t="s">
        <v>25</v>
      </c>
    </row>
    <row r="33" spans="2:2" x14ac:dyDescent="0.25">
      <c r="B33" s="2" t="s">
        <v>26</v>
      </c>
    </row>
    <row r="34" spans="2:2" x14ac:dyDescent="0.25">
      <c r="B34" s="2" t="s">
        <v>27</v>
      </c>
    </row>
    <row r="35" spans="2:2" x14ac:dyDescent="0.25">
      <c r="B35" s="2"/>
    </row>
    <row r="36" spans="2:2" ht="15.75" x14ac:dyDescent="0.25">
      <c r="B36" s="3" t="s">
        <v>28</v>
      </c>
    </row>
    <row r="37" spans="2:2" x14ac:dyDescent="0.25">
      <c r="B37" s="2" t="s">
        <v>29</v>
      </c>
    </row>
    <row r="38" spans="2:2" x14ac:dyDescent="0.25">
      <c r="B38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workbookViewId="0">
      <pane xSplit="2" ySplit="1" topLeftCell="C2" activePane="bottomRight" state="frozen"/>
      <selection pane="topRight"/>
      <selection pane="bottomLeft"/>
      <selection pane="bottomRight" activeCell="B7" sqref="B7"/>
    </sheetView>
  </sheetViews>
  <sheetFormatPr defaultRowHeight="15" x14ac:dyDescent="0.25"/>
  <cols>
    <col min="1" max="1" width="12" customWidth="1"/>
    <col min="2" max="2" width="34" customWidth="1"/>
    <col min="3" max="3" width="30" customWidth="1"/>
    <col min="4" max="4" width="18" customWidth="1"/>
    <col min="5" max="5" width="11" customWidth="1"/>
    <col min="6" max="6" width="47.140625" customWidth="1"/>
    <col min="7" max="7" width="14" customWidth="1"/>
    <col min="8" max="8" width="18" customWidth="1"/>
    <col min="9" max="9" width="23.42578125" bestFit="1" customWidth="1"/>
    <col min="10" max="11" width="13" customWidth="1"/>
    <col min="12" max="12" width="42.85546875" bestFit="1" customWidth="1"/>
  </cols>
  <sheetData>
    <row r="1" spans="1:12" ht="30" customHeight="1" x14ac:dyDescent="0.25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</row>
    <row r="2" spans="1:12" x14ac:dyDescent="0.2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8">
        <v>123456</v>
      </c>
      <c r="I2" s="7" t="s">
        <v>50</v>
      </c>
      <c r="J2" s="7" t="s">
        <v>51</v>
      </c>
      <c r="K2" s="7"/>
      <c r="L2" s="7" t="s">
        <v>52</v>
      </c>
    </row>
    <row r="3" spans="1:12" x14ac:dyDescent="0.25">
      <c r="A3" s="9" t="s">
        <v>53</v>
      </c>
      <c r="B3" s="10" t="s">
        <v>54</v>
      </c>
      <c r="C3" s="9" t="s">
        <v>54</v>
      </c>
      <c r="D3" s="9"/>
      <c r="E3" s="9" t="s">
        <v>47</v>
      </c>
      <c r="F3" s="10" t="s">
        <v>55</v>
      </c>
      <c r="G3" s="10" t="s">
        <v>56</v>
      </c>
      <c r="H3" s="11">
        <v>2397191</v>
      </c>
      <c r="I3" s="10" t="s">
        <v>57</v>
      </c>
      <c r="J3" s="9"/>
      <c r="K3" s="9"/>
      <c r="L3" s="9"/>
    </row>
    <row r="4" spans="1:12" x14ac:dyDescent="0.25">
      <c r="A4" s="9" t="s">
        <v>58</v>
      </c>
      <c r="B4" s="10" t="s">
        <v>59</v>
      </c>
      <c r="C4" s="9" t="s">
        <v>59</v>
      </c>
      <c r="D4" s="9"/>
      <c r="E4" s="9" t="s">
        <v>47</v>
      </c>
      <c r="F4" s="10" t="s">
        <v>60</v>
      </c>
      <c r="G4" s="10" t="s">
        <v>61</v>
      </c>
      <c r="H4" s="11">
        <v>4174761</v>
      </c>
      <c r="I4" s="10" t="s">
        <v>57</v>
      </c>
      <c r="J4" s="9"/>
      <c r="K4" s="9"/>
      <c r="L4" s="9"/>
    </row>
    <row r="5" spans="1:12" x14ac:dyDescent="0.25">
      <c r="A5" s="9" t="s">
        <v>62</v>
      </c>
      <c r="B5" s="10" t="s">
        <v>63</v>
      </c>
      <c r="C5" s="9" t="s">
        <v>63</v>
      </c>
      <c r="D5" s="9"/>
      <c r="E5" s="9" t="s">
        <v>47</v>
      </c>
      <c r="F5" s="10" t="s">
        <v>64</v>
      </c>
      <c r="G5" s="10" t="s">
        <v>65</v>
      </c>
      <c r="H5" s="11">
        <v>0</v>
      </c>
      <c r="I5" s="10" t="s">
        <v>66</v>
      </c>
      <c r="J5" s="9"/>
      <c r="K5" s="9"/>
      <c r="L5" s="9"/>
    </row>
    <row r="6" spans="1:12" x14ac:dyDescent="0.25">
      <c r="A6" s="9" t="s">
        <v>67</v>
      </c>
      <c r="B6" s="10" t="s">
        <v>68</v>
      </c>
      <c r="C6" s="9" t="s">
        <v>68</v>
      </c>
      <c r="D6" s="9"/>
      <c r="E6" s="9" t="s">
        <v>47</v>
      </c>
      <c r="F6" s="10" t="s">
        <v>69</v>
      </c>
      <c r="G6" s="10" t="s">
        <v>70</v>
      </c>
      <c r="H6" s="11">
        <v>2113615</v>
      </c>
      <c r="I6" s="10" t="s">
        <v>57</v>
      </c>
      <c r="J6" s="9"/>
      <c r="K6" s="9"/>
      <c r="L6" s="9"/>
    </row>
    <row r="7" spans="1:12" x14ac:dyDescent="0.25">
      <c r="A7" s="9" t="s">
        <v>67</v>
      </c>
      <c r="B7" s="10" t="s">
        <v>71</v>
      </c>
      <c r="C7" s="9" t="s">
        <v>68</v>
      </c>
      <c r="D7" s="9" t="s">
        <v>72</v>
      </c>
      <c r="E7" s="9" t="s">
        <v>47</v>
      </c>
      <c r="F7" s="10" t="s">
        <v>73</v>
      </c>
      <c r="G7" s="10" t="s">
        <v>70</v>
      </c>
      <c r="H7" s="11">
        <v>238174</v>
      </c>
      <c r="I7" s="10" t="s">
        <v>57</v>
      </c>
      <c r="J7" s="9"/>
      <c r="K7" s="9"/>
      <c r="L7" s="12" t="s">
        <v>74</v>
      </c>
    </row>
    <row r="8" spans="1:12" x14ac:dyDescent="0.25">
      <c r="A8" s="9" t="s">
        <v>67</v>
      </c>
      <c r="B8" s="10" t="s">
        <v>75</v>
      </c>
      <c r="C8" s="9" t="s">
        <v>68</v>
      </c>
      <c r="D8" s="9" t="s">
        <v>76</v>
      </c>
      <c r="E8" s="9" t="s">
        <v>47</v>
      </c>
      <c r="F8" s="10" t="s">
        <v>77</v>
      </c>
      <c r="G8" s="10" t="s">
        <v>78</v>
      </c>
      <c r="H8" s="11">
        <v>105994</v>
      </c>
      <c r="I8" s="10" t="s">
        <v>57</v>
      </c>
      <c r="J8" s="9"/>
      <c r="K8" s="9"/>
      <c r="L8" s="12" t="s">
        <v>74</v>
      </c>
    </row>
    <row r="9" spans="1:12" x14ac:dyDescent="0.25">
      <c r="A9" s="9" t="s">
        <v>79</v>
      </c>
      <c r="B9" s="10" t="s">
        <v>80</v>
      </c>
      <c r="C9" s="9" t="s">
        <v>80</v>
      </c>
      <c r="D9" s="9"/>
      <c r="E9" s="9" t="s">
        <v>47</v>
      </c>
      <c r="F9" s="10" t="s">
        <v>81</v>
      </c>
      <c r="G9" s="10" t="s">
        <v>65</v>
      </c>
      <c r="H9" s="11">
        <v>0</v>
      </c>
      <c r="I9" s="10" t="s">
        <v>66</v>
      </c>
      <c r="J9" s="9"/>
      <c r="K9" s="9"/>
      <c r="L9" s="9"/>
    </row>
    <row r="10" spans="1:12" x14ac:dyDescent="0.25">
      <c r="A10" s="9" t="s">
        <v>82</v>
      </c>
      <c r="B10" s="10" t="s">
        <v>83</v>
      </c>
      <c r="C10" s="9" t="s">
        <v>83</v>
      </c>
      <c r="D10" s="9"/>
      <c r="E10" s="9" t="s">
        <v>47</v>
      </c>
      <c r="F10" s="10" t="s">
        <v>84</v>
      </c>
      <c r="G10" s="10" t="s">
        <v>85</v>
      </c>
      <c r="H10" s="11">
        <v>2797827</v>
      </c>
      <c r="I10" s="10" t="s">
        <v>57</v>
      </c>
      <c r="J10" s="9"/>
      <c r="K10" s="9"/>
      <c r="L10" s="9"/>
    </row>
    <row r="11" spans="1:12" x14ac:dyDescent="0.25">
      <c r="A11" s="9" t="s">
        <v>86</v>
      </c>
      <c r="B11" s="10" t="s">
        <v>87</v>
      </c>
      <c r="C11" s="9" t="s">
        <v>87</v>
      </c>
      <c r="D11" s="9"/>
      <c r="E11" s="9" t="s">
        <v>47</v>
      </c>
      <c r="F11" s="10" t="s">
        <v>84</v>
      </c>
      <c r="G11" s="10" t="s">
        <v>85</v>
      </c>
      <c r="H11" s="11">
        <v>0</v>
      </c>
      <c r="I11" s="10" t="s">
        <v>66</v>
      </c>
      <c r="J11" s="9"/>
      <c r="K11" s="9"/>
      <c r="L11" s="9"/>
    </row>
    <row r="12" spans="1:12" x14ac:dyDescent="0.25">
      <c r="A12" s="9" t="s">
        <v>88</v>
      </c>
      <c r="B12" s="10" t="s">
        <v>89</v>
      </c>
      <c r="C12" s="9" t="s">
        <v>89</v>
      </c>
      <c r="D12" s="9"/>
      <c r="E12" s="9" t="s">
        <v>47</v>
      </c>
      <c r="F12" s="10" t="s">
        <v>90</v>
      </c>
      <c r="G12" s="10" t="s">
        <v>91</v>
      </c>
      <c r="H12" s="11">
        <v>876477</v>
      </c>
      <c r="I12" s="10" t="s">
        <v>57</v>
      </c>
      <c r="J12" s="9"/>
      <c r="K12" s="9"/>
      <c r="L12" s="9"/>
    </row>
    <row r="13" spans="1:12" x14ac:dyDescent="0.25">
      <c r="A13" s="9" t="s">
        <v>92</v>
      </c>
      <c r="B13" s="10" t="s">
        <v>93</v>
      </c>
      <c r="C13" s="9" t="s">
        <v>93</v>
      </c>
      <c r="D13" s="9"/>
      <c r="E13" s="9" t="s">
        <v>47</v>
      </c>
      <c r="F13" s="10" t="s">
        <v>94</v>
      </c>
      <c r="G13" s="10" t="s">
        <v>95</v>
      </c>
      <c r="H13" s="11">
        <v>108962</v>
      </c>
      <c r="I13" s="10" t="s">
        <v>50</v>
      </c>
      <c r="J13" s="9"/>
      <c r="K13" s="9"/>
      <c r="L13" s="9"/>
    </row>
    <row r="14" spans="1:12" x14ac:dyDescent="0.25">
      <c r="A14" s="9" t="s">
        <v>96</v>
      </c>
      <c r="B14" s="10" t="s">
        <v>97</v>
      </c>
      <c r="C14" s="9" t="s">
        <v>97</v>
      </c>
      <c r="D14" s="9"/>
      <c r="E14" s="9" t="s">
        <v>47</v>
      </c>
      <c r="F14" s="10" t="s">
        <v>98</v>
      </c>
      <c r="G14" s="10" t="s">
        <v>99</v>
      </c>
      <c r="H14" s="11">
        <v>921781</v>
      </c>
      <c r="I14" s="10" t="s">
        <v>100</v>
      </c>
      <c r="J14" s="9"/>
      <c r="K14" s="9"/>
      <c r="L14" s="9"/>
    </row>
    <row r="15" spans="1:12" x14ac:dyDescent="0.25">
      <c r="A15" s="9" t="s">
        <v>101</v>
      </c>
      <c r="B15" s="10" t="s">
        <v>102</v>
      </c>
      <c r="C15" s="9" t="s">
        <v>102</v>
      </c>
      <c r="D15" s="9"/>
      <c r="E15" s="9" t="s">
        <v>47</v>
      </c>
      <c r="F15" s="10" t="s">
        <v>103</v>
      </c>
      <c r="G15" s="10" t="s">
        <v>104</v>
      </c>
      <c r="H15" s="11">
        <v>1062957</v>
      </c>
      <c r="I15" s="10" t="s">
        <v>57</v>
      </c>
      <c r="J15" s="9"/>
      <c r="K15" s="9"/>
      <c r="L15" s="9"/>
    </row>
    <row r="16" spans="1:12" x14ac:dyDescent="0.25">
      <c r="A16" s="9" t="s">
        <v>105</v>
      </c>
      <c r="B16" s="10" t="s">
        <v>106</v>
      </c>
      <c r="C16" s="9" t="s">
        <v>106</v>
      </c>
      <c r="D16" s="9"/>
      <c r="E16" s="9" t="s">
        <v>47</v>
      </c>
      <c r="F16" s="10" t="s">
        <v>107</v>
      </c>
      <c r="G16" s="10" t="s">
        <v>108</v>
      </c>
      <c r="H16" s="11">
        <v>643473</v>
      </c>
      <c r="I16" s="10" t="s">
        <v>57</v>
      </c>
      <c r="J16" s="9"/>
      <c r="K16" s="9"/>
      <c r="L16" s="9"/>
    </row>
    <row r="17" spans="1:12" x14ac:dyDescent="0.25">
      <c r="A17" s="9" t="s">
        <v>109</v>
      </c>
      <c r="B17" s="10" t="s">
        <v>110</v>
      </c>
      <c r="C17" s="9" t="s">
        <v>110</v>
      </c>
      <c r="D17" s="9"/>
      <c r="E17" s="9" t="s">
        <v>47</v>
      </c>
      <c r="F17" s="10" t="s">
        <v>111</v>
      </c>
      <c r="G17" s="10" t="s">
        <v>112</v>
      </c>
      <c r="H17" s="11">
        <v>141163</v>
      </c>
      <c r="I17" s="10" t="s">
        <v>57</v>
      </c>
      <c r="J17" s="9"/>
      <c r="K17" s="9"/>
      <c r="L17" s="9"/>
    </row>
    <row r="18" spans="1:12" x14ac:dyDescent="0.25">
      <c r="A18" s="9" t="s">
        <v>113</v>
      </c>
      <c r="B18" s="10" t="s">
        <v>114</v>
      </c>
      <c r="C18" s="9" t="s">
        <v>114</v>
      </c>
      <c r="D18" s="9"/>
      <c r="E18" s="9" t="s">
        <v>47</v>
      </c>
      <c r="F18" s="10" t="s">
        <v>115</v>
      </c>
      <c r="G18" s="10" t="s">
        <v>61</v>
      </c>
      <c r="H18" s="11">
        <v>1432837</v>
      </c>
      <c r="I18" s="10" t="s">
        <v>57</v>
      </c>
      <c r="J18" s="9"/>
      <c r="K18" s="9"/>
      <c r="L18" s="9"/>
    </row>
    <row r="19" spans="1:12" x14ac:dyDescent="0.25">
      <c r="A19" s="9" t="s">
        <v>116</v>
      </c>
      <c r="B19" s="10" t="s">
        <v>117</v>
      </c>
      <c r="C19" s="9" t="s">
        <v>117</v>
      </c>
      <c r="D19" s="9"/>
      <c r="E19" s="9" t="s">
        <v>47</v>
      </c>
      <c r="F19" s="10" t="s">
        <v>118</v>
      </c>
      <c r="G19" s="10" t="s">
        <v>56</v>
      </c>
      <c r="H19" s="11">
        <v>69500</v>
      </c>
      <c r="I19" s="10" t="s">
        <v>57</v>
      </c>
      <c r="J19" s="9"/>
      <c r="K19" s="9"/>
      <c r="L19" s="9"/>
    </row>
    <row r="20" spans="1:12" x14ac:dyDescent="0.25">
      <c r="A20" s="9" t="s">
        <v>119</v>
      </c>
      <c r="B20" s="10" t="s">
        <v>120</v>
      </c>
      <c r="C20" s="9" t="s">
        <v>120</v>
      </c>
      <c r="D20" s="9"/>
      <c r="E20" s="9" t="s">
        <v>47</v>
      </c>
      <c r="F20" s="10" t="s">
        <v>121</v>
      </c>
      <c r="G20" s="10" t="s">
        <v>122</v>
      </c>
      <c r="H20" s="11">
        <v>166445</v>
      </c>
      <c r="I20" s="10" t="s">
        <v>57</v>
      </c>
      <c r="J20" s="9"/>
      <c r="K20" s="9"/>
      <c r="L20" s="9"/>
    </row>
    <row r="21" spans="1:12" x14ac:dyDescent="0.25">
      <c r="A21" s="9" t="s">
        <v>119</v>
      </c>
      <c r="B21" s="10" t="s">
        <v>123</v>
      </c>
      <c r="C21" s="9" t="s">
        <v>120</v>
      </c>
      <c r="D21" s="9"/>
      <c r="E21" s="9" t="s">
        <v>47</v>
      </c>
      <c r="F21" s="10" t="s">
        <v>98</v>
      </c>
      <c r="G21" s="10" t="s">
        <v>122</v>
      </c>
      <c r="H21" s="11">
        <v>163560</v>
      </c>
      <c r="I21" s="10" t="s">
        <v>57</v>
      </c>
      <c r="J21" s="9"/>
      <c r="K21" s="9"/>
      <c r="L21" s="12" t="s">
        <v>124</v>
      </c>
    </row>
    <row r="22" spans="1:12" x14ac:dyDescent="0.25">
      <c r="A22" s="9" t="s">
        <v>125</v>
      </c>
      <c r="B22" s="10" t="s">
        <v>126</v>
      </c>
      <c r="C22" s="9" t="s">
        <v>127</v>
      </c>
      <c r="D22" s="9" t="s">
        <v>128</v>
      </c>
      <c r="E22" s="9" t="s">
        <v>47</v>
      </c>
      <c r="F22" s="10" t="s">
        <v>129</v>
      </c>
      <c r="G22" s="10" t="s">
        <v>130</v>
      </c>
      <c r="H22" s="11">
        <v>1841681</v>
      </c>
      <c r="I22" s="10" t="s">
        <v>57</v>
      </c>
      <c r="J22" s="9"/>
      <c r="K22" s="9"/>
      <c r="L22" s="12" t="s">
        <v>131</v>
      </c>
    </row>
    <row r="23" spans="1:12" x14ac:dyDescent="0.25">
      <c r="A23" s="9" t="s">
        <v>125</v>
      </c>
      <c r="B23" s="10" t="s">
        <v>127</v>
      </c>
      <c r="C23" s="9" t="s">
        <v>127</v>
      </c>
      <c r="D23" s="9"/>
      <c r="E23" s="9" t="s">
        <v>47</v>
      </c>
      <c r="F23" s="10" t="s">
        <v>129</v>
      </c>
      <c r="G23" s="10" t="s">
        <v>130</v>
      </c>
      <c r="H23" s="11">
        <v>0</v>
      </c>
      <c r="I23" s="10" t="s">
        <v>66</v>
      </c>
      <c r="J23" s="9"/>
      <c r="K23" s="9"/>
      <c r="L23" s="9"/>
    </row>
    <row r="24" spans="1:12" x14ac:dyDescent="0.25">
      <c r="A24" s="9" t="s">
        <v>132</v>
      </c>
      <c r="B24" s="10" t="s">
        <v>133</v>
      </c>
      <c r="C24" s="9" t="s">
        <v>133</v>
      </c>
      <c r="D24" s="9"/>
      <c r="E24" s="9" t="s">
        <v>47</v>
      </c>
      <c r="F24" s="10" t="s">
        <v>134</v>
      </c>
      <c r="G24" s="10" t="s">
        <v>130</v>
      </c>
      <c r="H24" s="11">
        <v>2659976</v>
      </c>
      <c r="I24" s="10" t="s">
        <v>100</v>
      </c>
      <c r="J24" s="9"/>
      <c r="K24" s="9"/>
      <c r="L24" s="9"/>
    </row>
    <row r="25" spans="1:12" x14ac:dyDescent="0.25">
      <c r="A25" s="9" t="s">
        <v>135</v>
      </c>
      <c r="B25" s="10" t="s">
        <v>136</v>
      </c>
      <c r="C25" s="9" t="s">
        <v>137</v>
      </c>
      <c r="D25" s="9"/>
      <c r="E25" s="9" t="s">
        <v>47</v>
      </c>
      <c r="F25" s="10" t="s">
        <v>138</v>
      </c>
      <c r="G25" s="10" t="s">
        <v>122</v>
      </c>
      <c r="H25" s="11">
        <v>909144</v>
      </c>
      <c r="I25" s="10" t="s">
        <v>57</v>
      </c>
      <c r="J25" s="9"/>
      <c r="K25" s="9"/>
      <c r="L25" s="12" t="s">
        <v>139</v>
      </c>
    </row>
    <row r="26" spans="1:12" x14ac:dyDescent="0.25">
      <c r="A26" s="9" t="s">
        <v>135</v>
      </c>
      <c r="B26" s="10" t="s">
        <v>137</v>
      </c>
      <c r="C26" s="9" t="s">
        <v>137</v>
      </c>
      <c r="D26" s="9"/>
      <c r="E26" s="9" t="s">
        <v>47</v>
      </c>
      <c r="F26" s="10" t="s">
        <v>140</v>
      </c>
      <c r="G26" s="10" t="s">
        <v>122</v>
      </c>
      <c r="H26" s="11">
        <v>719481</v>
      </c>
      <c r="I26" s="10" t="s">
        <v>57</v>
      </c>
      <c r="J26" s="9"/>
      <c r="K26" s="9"/>
      <c r="L26" s="9"/>
    </row>
    <row r="27" spans="1:12" x14ac:dyDescent="0.25">
      <c r="A27" s="9" t="s">
        <v>135</v>
      </c>
      <c r="B27" s="10" t="s">
        <v>141</v>
      </c>
      <c r="C27" s="9" t="s">
        <v>137</v>
      </c>
      <c r="D27" s="9"/>
      <c r="E27" s="9" t="s">
        <v>47</v>
      </c>
      <c r="F27" s="10" t="s">
        <v>142</v>
      </c>
      <c r="G27" s="10" t="s">
        <v>122</v>
      </c>
      <c r="H27" s="11">
        <v>382026</v>
      </c>
      <c r="I27" s="10" t="s">
        <v>57</v>
      </c>
      <c r="J27" s="9"/>
      <c r="K27" s="9"/>
      <c r="L27" s="12" t="s">
        <v>139</v>
      </c>
    </row>
    <row r="28" spans="1:12" x14ac:dyDescent="0.25">
      <c r="A28" s="9" t="s">
        <v>143</v>
      </c>
      <c r="B28" s="10" t="s">
        <v>144</v>
      </c>
      <c r="C28" s="9" t="s">
        <v>145</v>
      </c>
      <c r="D28" s="9"/>
      <c r="E28" s="9" t="s">
        <v>47</v>
      </c>
      <c r="F28" s="10" t="s">
        <v>146</v>
      </c>
      <c r="G28" s="10" t="s">
        <v>130</v>
      </c>
      <c r="H28" s="11">
        <v>1378109</v>
      </c>
      <c r="I28" s="10" t="s">
        <v>100</v>
      </c>
      <c r="J28" s="9"/>
      <c r="K28" s="9"/>
      <c r="L28" s="12" t="s">
        <v>147</v>
      </c>
    </row>
    <row r="29" spans="1:12" x14ac:dyDescent="0.25">
      <c r="A29" s="9" t="s">
        <v>143</v>
      </c>
      <c r="B29" s="10" t="s">
        <v>148</v>
      </c>
      <c r="C29" s="9" t="s">
        <v>145</v>
      </c>
      <c r="D29" s="9"/>
      <c r="E29" s="9" t="s">
        <v>47</v>
      </c>
      <c r="F29" s="10" t="s">
        <v>149</v>
      </c>
      <c r="G29" s="10" t="s">
        <v>130</v>
      </c>
      <c r="H29" s="11">
        <v>870253</v>
      </c>
      <c r="I29" s="10" t="s">
        <v>100</v>
      </c>
      <c r="J29" s="9"/>
      <c r="K29" s="9"/>
      <c r="L29" s="12" t="s">
        <v>147</v>
      </c>
    </row>
    <row r="30" spans="1:12" x14ac:dyDescent="0.25">
      <c r="A30" s="9" t="s">
        <v>143</v>
      </c>
      <c r="B30" s="10" t="s">
        <v>145</v>
      </c>
      <c r="C30" s="9" t="s">
        <v>145</v>
      </c>
      <c r="D30" s="9"/>
      <c r="E30" s="9" t="s">
        <v>47</v>
      </c>
      <c r="F30" s="10" t="s">
        <v>150</v>
      </c>
      <c r="G30" s="10" t="s">
        <v>130</v>
      </c>
      <c r="H30" s="11">
        <v>770856</v>
      </c>
      <c r="I30" s="10" t="s">
        <v>100</v>
      </c>
      <c r="J30" s="9"/>
      <c r="K30" s="9"/>
      <c r="L30" s="9"/>
    </row>
    <row r="31" spans="1:12" x14ac:dyDescent="0.25">
      <c r="A31" s="9" t="s">
        <v>151</v>
      </c>
      <c r="B31" s="10" t="s">
        <v>152</v>
      </c>
      <c r="C31" s="9" t="s">
        <v>152</v>
      </c>
      <c r="D31" s="9"/>
      <c r="E31" s="9" t="s">
        <v>47</v>
      </c>
      <c r="F31" s="10" t="s">
        <v>153</v>
      </c>
      <c r="G31" s="10" t="s">
        <v>112</v>
      </c>
      <c r="H31" s="11">
        <v>49645</v>
      </c>
      <c r="I31" s="10" t="s">
        <v>57</v>
      </c>
      <c r="J31" s="9"/>
      <c r="K31" s="9"/>
      <c r="L31" s="9"/>
    </row>
    <row r="32" spans="1:12" x14ac:dyDescent="0.25">
      <c r="A32" s="9" t="s">
        <v>154</v>
      </c>
      <c r="B32" s="10" t="s">
        <v>155</v>
      </c>
      <c r="C32" s="9" t="s">
        <v>155</v>
      </c>
      <c r="D32" s="9"/>
      <c r="E32" s="9" t="s">
        <v>47</v>
      </c>
      <c r="F32" s="10" t="s">
        <v>111</v>
      </c>
      <c r="G32" s="10" t="s">
        <v>112</v>
      </c>
      <c r="H32" s="11">
        <v>2874772</v>
      </c>
      <c r="I32" s="10" t="s">
        <v>57</v>
      </c>
      <c r="J32" s="9"/>
      <c r="K32" s="9"/>
      <c r="L32" s="9"/>
    </row>
    <row r="33" spans="1:12" x14ac:dyDescent="0.25">
      <c r="A33" s="9" t="s">
        <v>156</v>
      </c>
      <c r="B33" s="10" t="s">
        <v>157</v>
      </c>
      <c r="C33" s="9" t="s">
        <v>158</v>
      </c>
      <c r="D33" s="9" t="s">
        <v>159</v>
      </c>
      <c r="E33" s="9" t="s">
        <v>47</v>
      </c>
      <c r="F33" s="10" t="s">
        <v>160</v>
      </c>
      <c r="G33" s="10" t="s">
        <v>130</v>
      </c>
      <c r="H33" s="11">
        <v>2920228</v>
      </c>
      <c r="I33" s="10" t="s">
        <v>57</v>
      </c>
      <c r="J33" s="9"/>
      <c r="K33" s="9"/>
      <c r="L33" s="12" t="s">
        <v>161</v>
      </c>
    </row>
    <row r="34" spans="1:12" x14ac:dyDescent="0.25">
      <c r="A34" s="9" t="s">
        <v>156</v>
      </c>
      <c r="B34" s="10" t="s">
        <v>158</v>
      </c>
      <c r="C34" s="9" t="s">
        <v>158</v>
      </c>
      <c r="D34" s="9"/>
      <c r="E34" s="9" t="s">
        <v>47</v>
      </c>
      <c r="F34" s="10" t="s">
        <v>160</v>
      </c>
      <c r="G34" s="10" t="s">
        <v>130</v>
      </c>
      <c r="H34" s="11">
        <v>0</v>
      </c>
      <c r="I34" s="10" t="s">
        <v>66</v>
      </c>
      <c r="J34" s="9"/>
      <c r="K34" s="9"/>
      <c r="L34" s="9"/>
    </row>
    <row r="35" spans="1:12" x14ac:dyDescent="0.25">
      <c r="A35" s="9" t="s">
        <v>162</v>
      </c>
      <c r="B35" s="10" t="s">
        <v>163</v>
      </c>
      <c r="C35" s="9" t="s">
        <v>163</v>
      </c>
      <c r="D35" s="9"/>
      <c r="E35" s="9" t="s">
        <v>47</v>
      </c>
      <c r="F35" s="10" t="s">
        <v>164</v>
      </c>
      <c r="G35" s="10" t="s">
        <v>130</v>
      </c>
      <c r="H35" s="11">
        <v>1714470</v>
      </c>
      <c r="I35" s="10" t="s">
        <v>100</v>
      </c>
      <c r="J35" s="9"/>
      <c r="K35" s="9"/>
      <c r="L35" s="9"/>
    </row>
    <row r="36" spans="1:12" x14ac:dyDescent="0.25">
      <c r="A36" s="9" t="s">
        <v>165</v>
      </c>
      <c r="B36" s="10" t="s">
        <v>166</v>
      </c>
      <c r="C36" s="9" t="s">
        <v>166</v>
      </c>
      <c r="D36" s="9"/>
      <c r="E36" s="9" t="s">
        <v>47</v>
      </c>
      <c r="F36" s="10" t="s">
        <v>167</v>
      </c>
      <c r="G36" s="10" t="s">
        <v>78</v>
      </c>
      <c r="H36" s="11">
        <v>38307</v>
      </c>
      <c r="I36" s="10" t="s">
        <v>57</v>
      </c>
      <c r="J36" s="9"/>
      <c r="K36" s="9"/>
      <c r="L36" s="9"/>
    </row>
    <row r="37" spans="1:12" x14ac:dyDescent="0.25">
      <c r="A37" s="9" t="s">
        <v>168</v>
      </c>
      <c r="B37" s="10" t="s">
        <v>169</v>
      </c>
      <c r="C37" s="9" t="s">
        <v>169</v>
      </c>
      <c r="D37" s="9"/>
      <c r="E37" s="9" t="s">
        <v>47</v>
      </c>
      <c r="F37" s="10" t="s">
        <v>170</v>
      </c>
      <c r="G37" s="10" t="s">
        <v>171</v>
      </c>
      <c r="H37" s="11">
        <v>1199590</v>
      </c>
      <c r="I37" s="10" t="s">
        <v>100</v>
      </c>
      <c r="J37" s="9"/>
      <c r="K37" s="9"/>
      <c r="L37" s="9"/>
    </row>
    <row r="38" spans="1:12" x14ac:dyDescent="0.25">
      <c r="A38" s="9" t="s">
        <v>172</v>
      </c>
      <c r="B38" s="10" t="s">
        <v>173</v>
      </c>
      <c r="C38" s="9" t="s">
        <v>173</v>
      </c>
      <c r="D38" s="9"/>
      <c r="E38" s="9" t="s">
        <v>47</v>
      </c>
      <c r="F38" s="10" t="s">
        <v>142</v>
      </c>
      <c r="G38" s="10" t="s">
        <v>65</v>
      </c>
      <c r="H38" s="11">
        <v>0</v>
      </c>
      <c r="I38" s="10" t="s">
        <v>66</v>
      </c>
      <c r="J38" s="9"/>
      <c r="K38" s="9"/>
      <c r="L38" s="9"/>
    </row>
    <row r="39" spans="1:12" x14ac:dyDescent="0.25">
      <c r="A39" s="9" t="s">
        <v>174</v>
      </c>
      <c r="B39" s="10" t="s">
        <v>175</v>
      </c>
      <c r="C39" s="9" t="s">
        <v>175</v>
      </c>
      <c r="D39" s="9"/>
      <c r="E39" s="9" t="s">
        <v>47</v>
      </c>
      <c r="F39" s="10" t="s">
        <v>176</v>
      </c>
      <c r="G39" s="10" t="s">
        <v>112</v>
      </c>
      <c r="H39" s="11">
        <v>3200305</v>
      </c>
      <c r="I39" s="10" t="s">
        <v>100</v>
      </c>
      <c r="J39" s="9"/>
      <c r="K39" s="9"/>
      <c r="L39" s="9"/>
    </row>
    <row r="40" spans="1:12" x14ac:dyDescent="0.25">
      <c r="A40" s="9" t="s">
        <v>174</v>
      </c>
      <c r="B40" s="10" t="s">
        <v>177</v>
      </c>
      <c r="C40" s="9" t="s">
        <v>175</v>
      </c>
      <c r="D40" s="9" t="s">
        <v>178</v>
      </c>
      <c r="E40" s="9" t="s">
        <v>47</v>
      </c>
      <c r="F40" s="10" t="s">
        <v>153</v>
      </c>
      <c r="G40" s="10" t="s">
        <v>112</v>
      </c>
      <c r="H40" s="11">
        <v>3031</v>
      </c>
      <c r="I40" s="10" t="s">
        <v>57</v>
      </c>
      <c r="J40" s="9"/>
      <c r="K40" s="9"/>
      <c r="L40" s="12" t="s">
        <v>179</v>
      </c>
    </row>
    <row r="41" spans="1:12" x14ac:dyDescent="0.25">
      <c r="A41" s="9" t="s">
        <v>180</v>
      </c>
      <c r="B41" s="10" t="s">
        <v>181</v>
      </c>
      <c r="C41" s="9" t="s">
        <v>181</v>
      </c>
      <c r="D41" s="9"/>
      <c r="E41" s="9" t="s">
        <v>47</v>
      </c>
      <c r="F41" s="10" t="s">
        <v>182</v>
      </c>
      <c r="G41" s="10" t="s">
        <v>183</v>
      </c>
      <c r="H41" s="11">
        <v>2987309</v>
      </c>
      <c r="I41" s="10" t="s">
        <v>100</v>
      </c>
      <c r="J41" s="9"/>
      <c r="K41" s="9"/>
      <c r="L41" s="9"/>
    </row>
    <row r="42" spans="1:12" x14ac:dyDescent="0.25">
      <c r="A42" s="9" t="s">
        <v>184</v>
      </c>
      <c r="B42" s="10" t="s">
        <v>185</v>
      </c>
      <c r="C42" s="9" t="s">
        <v>185</v>
      </c>
      <c r="D42" s="9"/>
      <c r="E42" s="9" t="s">
        <v>47</v>
      </c>
      <c r="F42" s="10" t="s">
        <v>77</v>
      </c>
      <c r="G42" s="10" t="s">
        <v>78</v>
      </c>
      <c r="H42" s="11">
        <v>873112</v>
      </c>
      <c r="I42" s="10" t="s">
        <v>100</v>
      </c>
      <c r="J42" s="9"/>
      <c r="K42" s="9"/>
      <c r="L42" s="9"/>
    </row>
    <row r="43" spans="1:12" x14ac:dyDescent="0.25">
      <c r="A43" s="9" t="s">
        <v>186</v>
      </c>
      <c r="B43" s="10" t="s">
        <v>187</v>
      </c>
      <c r="C43" s="9" t="s">
        <v>187</v>
      </c>
      <c r="D43" s="9"/>
      <c r="E43" s="9" t="s">
        <v>188</v>
      </c>
      <c r="F43" s="10"/>
      <c r="G43" s="10"/>
      <c r="H43" s="11">
        <v>0</v>
      </c>
      <c r="I43" s="10" t="s">
        <v>189</v>
      </c>
      <c r="J43" s="9"/>
      <c r="K43" s="9"/>
      <c r="L43" s="9"/>
    </row>
    <row r="44" spans="1:12" x14ac:dyDescent="0.25">
      <c r="A44" s="9" t="s">
        <v>190</v>
      </c>
      <c r="B44" s="10" t="s">
        <v>191</v>
      </c>
      <c r="C44" s="9" t="s">
        <v>192</v>
      </c>
      <c r="D44" s="9"/>
      <c r="E44" s="9" t="s">
        <v>188</v>
      </c>
      <c r="F44" s="10" t="s">
        <v>48</v>
      </c>
      <c r="G44" s="10" t="s">
        <v>130</v>
      </c>
      <c r="H44" s="11">
        <v>685626</v>
      </c>
      <c r="I44" s="10" t="s">
        <v>57</v>
      </c>
      <c r="J44" s="9"/>
      <c r="K44" s="9"/>
      <c r="L44" s="12" t="s">
        <v>193</v>
      </c>
    </row>
    <row r="45" spans="1:12" x14ac:dyDescent="0.25">
      <c r="A45" s="9" t="s">
        <v>190</v>
      </c>
      <c r="B45" s="10" t="s">
        <v>192</v>
      </c>
      <c r="C45" s="9" t="s">
        <v>192</v>
      </c>
      <c r="D45" s="9"/>
      <c r="E45" s="9" t="s">
        <v>188</v>
      </c>
      <c r="F45" s="10" t="s">
        <v>194</v>
      </c>
      <c r="G45" s="10" t="s">
        <v>130</v>
      </c>
      <c r="H45" s="11">
        <v>652880</v>
      </c>
      <c r="I45" s="10" t="s">
        <v>57</v>
      </c>
      <c r="J45" s="9"/>
      <c r="K45" s="9"/>
      <c r="L45" s="9"/>
    </row>
    <row r="46" spans="1:12" x14ac:dyDescent="0.25">
      <c r="A46" s="9" t="s">
        <v>190</v>
      </c>
      <c r="B46" s="10" t="s">
        <v>195</v>
      </c>
      <c r="C46" s="9" t="s">
        <v>192</v>
      </c>
      <c r="D46" s="9"/>
      <c r="E46" s="9" t="s">
        <v>188</v>
      </c>
      <c r="F46" s="10" t="s">
        <v>48</v>
      </c>
      <c r="G46" s="10" t="s">
        <v>130</v>
      </c>
      <c r="H46" s="11">
        <v>630205</v>
      </c>
      <c r="I46" s="10" t="s">
        <v>57</v>
      </c>
      <c r="J46" s="9"/>
      <c r="K46" s="9"/>
      <c r="L46" s="12" t="s">
        <v>193</v>
      </c>
    </row>
    <row r="47" spans="1:12" x14ac:dyDescent="0.25">
      <c r="A47" s="9" t="s">
        <v>196</v>
      </c>
      <c r="B47" s="10" t="s">
        <v>197</v>
      </c>
      <c r="C47" s="9" t="s">
        <v>197</v>
      </c>
      <c r="D47" s="9"/>
      <c r="E47" s="9" t="s">
        <v>47</v>
      </c>
      <c r="F47" s="10" t="s">
        <v>198</v>
      </c>
      <c r="G47" s="10" t="s">
        <v>130</v>
      </c>
      <c r="H47" s="11">
        <v>178098</v>
      </c>
      <c r="I47" s="10" t="s">
        <v>57</v>
      </c>
      <c r="J47" s="9"/>
      <c r="K47" s="9"/>
      <c r="L47" s="9"/>
    </row>
    <row r="49" spans="2:3" x14ac:dyDescent="0.25">
      <c r="B49" s="13" t="s">
        <v>199</v>
      </c>
      <c r="C49" s="13">
        <f>COUNTIF(L3:L47,"REVIEW*")</f>
        <v>12</v>
      </c>
    </row>
    <row r="50" spans="2:3" x14ac:dyDescent="0.25">
      <c r="B50" s="13" t="s">
        <v>200</v>
      </c>
      <c r="C50" s="13">
        <f>SUMPRODUCT((A3:A47&lt;&gt;"")/COUNTIF(A3:A47,A3:A47&amp;""))</f>
        <v>32.999999999999986</v>
      </c>
    </row>
    <row r="51" spans="2:3" x14ac:dyDescent="0.25">
      <c r="B51" s="13" t="s">
        <v>201</v>
      </c>
      <c r="C51" s="13">
        <f>COUNTA(B3:B47)</f>
        <v>45</v>
      </c>
    </row>
    <row r="52" spans="2:3" x14ac:dyDescent="0.25">
      <c r="B52" s="14" t="s">
        <v>202</v>
      </c>
    </row>
  </sheetData>
  <dataValidations count="1">
    <dataValidation type="list" allowBlank="1" sqref="E3:E47" xr:uid="{00000000-0002-0000-01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pane xSplit="1" ySplit="1" topLeftCell="B1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26" customWidth="1"/>
    <col min="3" max="3" width="16" customWidth="1"/>
    <col min="4" max="4" width="18" customWidth="1"/>
    <col min="5" max="5" width="30" customWidth="1"/>
  </cols>
  <sheetData>
    <row r="1" spans="1:5" ht="26.25" x14ac:dyDescent="0.25">
      <c r="A1" s="15" t="s">
        <v>203</v>
      </c>
      <c r="B1" s="15" t="s">
        <v>204</v>
      </c>
      <c r="C1" s="15" t="s">
        <v>205</v>
      </c>
      <c r="D1" s="15" t="s">
        <v>38</v>
      </c>
      <c r="E1" s="15" t="s">
        <v>206</v>
      </c>
    </row>
    <row r="2" spans="1:5" x14ac:dyDescent="0.25">
      <c r="A2" s="7" t="s">
        <v>44</v>
      </c>
      <c r="B2" s="7" t="s">
        <v>84</v>
      </c>
      <c r="C2" s="7" t="s">
        <v>207</v>
      </c>
      <c r="D2" s="8">
        <v>123456</v>
      </c>
      <c r="E2" s="7" t="s">
        <v>208</v>
      </c>
    </row>
    <row r="3" spans="1:5" x14ac:dyDescent="0.25">
      <c r="A3" s="10" t="s">
        <v>209</v>
      </c>
      <c r="B3" s="9" t="s">
        <v>209</v>
      </c>
      <c r="C3" s="9" t="s">
        <v>112</v>
      </c>
      <c r="D3" s="11">
        <v>1219816</v>
      </c>
      <c r="E3" s="9"/>
    </row>
    <row r="4" spans="1:5" x14ac:dyDescent="0.25">
      <c r="A4" s="10" t="s">
        <v>210</v>
      </c>
      <c r="B4" s="9" t="s">
        <v>210</v>
      </c>
      <c r="C4" s="9" t="s">
        <v>122</v>
      </c>
      <c r="D4" s="11">
        <v>6249</v>
      </c>
      <c r="E4" s="9"/>
    </row>
    <row r="5" spans="1:5" x14ac:dyDescent="0.25">
      <c r="A5" s="10" t="s">
        <v>211</v>
      </c>
      <c r="B5" s="9" t="s">
        <v>211</v>
      </c>
      <c r="C5" s="9" t="s">
        <v>122</v>
      </c>
      <c r="D5" s="11">
        <v>555112</v>
      </c>
      <c r="E5" s="9"/>
    </row>
    <row r="6" spans="1:5" x14ac:dyDescent="0.25">
      <c r="A6" s="10" t="s">
        <v>212</v>
      </c>
      <c r="B6" s="9" t="s">
        <v>212</v>
      </c>
      <c r="C6" s="9" t="s">
        <v>95</v>
      </c>
      <c r="D6" s="11">
        <v>38451</v>
      </c>
      <c r="E6" s="9"/>
    </row>
    <row r="7" spans="1:5" x14ac:dyDescent="0.25">
      <c r="A7" s="10" t="s">
        <v>213</v>
      </c>
      <c r="B7" s="9" t="s">
        <v>213</v>
      </c>
      <c r="C7" s="9" t="s">
        <v>95</v>
      </c>
      <c r="D7" s="11">
        <v>4806</v>
      </c>
      <c r="E7" s="9"/>
    </row>
    <row r="8" spans="1:5" x14ac:dyDescent="0.25">
      <c r="A8" s="10" t="s">
        <v>214</v>
      </c>
      <c r="B8" s="9" t="s">
        <v>214</v>
      </c>
      <c r="C8" s="9" t="s">
        <v>122</v>
      </c>
      <c r="D8" s="11">
        <v>1087294</v>
      </c>
      <c r="E8" s="9"/>
    </row>
    <row r="9" spans="1:5" x14ac:dyDescent="0.25">
      <c r="A9" s="10" t="s">
        <v>215</v>
      </c>
      <c r="B9" s="9" t="s">
        <v>215</v>
      </c>
      <c r="C9" s="9" t="s">
        <v>130</v>
      </c>
      <c r="D9" s="11">
        <v>31801</v>
      </c>
      <c r="E9" s="9"/>
    </row>
    <row r="10" spans="1:5" x14ac:dyDescent="0.25">
      <c r="A10" s="10" t="s">
        <v>216</v>
      </c>
      <c r="B10" s="9" t="s">
        <v>216</v>
      </c>
      <c r="C10" s="9" t="s">
        <v>130</v>
      </c>
      <c r="D10" s="11">
        <v>40192</v>
      </c>
      <c r="E10" s="9"/>
    </row>
    <row r="11" spans="1:5" x14ac:dyDescent="0.25">
      <c r="A11" s="10" t="s">
        <v>217</v>
      </c>
      <c r="B11" s="9" t="s">
        <v>217</v>
      </c>
      <c r="C11" s="9" t="s">
        <v>78</v>
      </c>
      <c r="D11" s="11">
        <v>30793</v>
      </c>
      <c r="E11" s="9"/>
    </row>
    <row r="12" spans="1:5" x14ac:dyDescent="0.25">
      <c r="A12" s="10" t="s">
        <v>218</v>
      </c>
      <c r="B12" s="9" t="s">
        <v>218</v>
      </c>
      <c r="C12" s="9" t="s">
        <v>130</v>
      </c>
      <c r="D12" s="11">
        <v>857427</v>
      </c>
      <c r="E12" s="9"/>
    </row>
    <row r="13" spans="1:5" x14ac:dyDescent="0.25">
      <c r="A13" s="10" t="s">
        <v>219</v>
      </c>
      <c r="B13" s="9" t="s">
        <v>219</v>
      </c>
      <c r="C13" s="9" t="s">
        <v>85</v>
      </c>
      <c r="D13" s="11">
        <v>176</v>
      </c>
      <c r="E13" s="9"/>
    </row>
    <row r="14" spans="1:5" x14ac:dyDescent="0.25">
      <c r="A14" s="10" t="s">
        <v>84</v>
      </c>
      <c r="B14" s="9" t="s">
        <v>84</v>
      </c>
      <c r="C14" s="9" t="s">
        <v>85</v>
      </c>
      <c r="D14" s="11">
        <v>2811267</v>
      </c>
      <c r="E14" s="9"/>
    </row>
    <row r="15" spans="1:5" x14ac:dyDescent="0.25">
      <c r="A15" s="10" t="s">
        <v>220</v>
      </c>
      <c r="B15" s="9" t="s">
        <v>220</v>
      </c>
      <c r="C15" s="9" t="s">
        <v>130</v>
      </c>
      <c r="D15" s="11">
        <v>4683317</v>
      </c>
      <c r="E15" s="9"/>
    </row>
    <row r="16" spans="1:5" x14ac:dyDescent="0.25">
      <c r="A16" s="10" t="s">
        <v>221</v>
      </c>
      <c r="B16" s="9" t="s">
        <v>221</v>
      </c>
      <c r="C16" s="9" t="s">
        <v>130</v>
      </c>
      <c r="D16" s="11">
        <v>368158</v>
      </c>
      <c r="E16" s="9"/>
    </row>
    <row r="17" spans="1:5" x14ac:dyDescent="0.25">
      <c r="A17" s="10" t="s">
        <v>129</v>
      </c>
      <c r="B17" s="9" t="s">
        <v>129</v>
      </c>
      <c r="C17" s="9" t="s">
        <v>130</v>
      </c>
      <c r="D17" s="11">
        <v>1841681</v>
      </c>
      <c r="E17" s="9"/>
    </row>
    <row r="18" spans="1:5" x14ac:dyDescent="0.25">
      <c r="A18" s="10" t="s">
        <v>121</v>
      </c>
      <c r="B18" s="9" t="s">
        <v>121</v>
      </c>
      <c r="C18" s="9" t="s">
        <v>122</v>
      </c>
      <c r="D18" s="11">
        <v>1359754</v>
      </c>
      <c r="E18" s="9"/>
    </row>
    <row r="19" spans="1:5" x14ac:dyDescent="0.25">
      <c r="A19" s="10" t="s">
        <v>222</v>
      </c>
      <c r="B19" s="9" t="s">
        <v>222</v>
      </c>
      <c r="C19" s="9" t="s">
        <v>112</v>
      </c>
      <c r="D19" s="11">
        <v>4177165</v>
      </c>
      <c r="E19" s="9"/>
    </row>
    <row r="20" spans="1:5" x14ac:dyDescent="0.25">
      <c r="A20" s="10" t="s">
        <v>223</v>
      </c>
      <c r="B20" s="9" t="s">
        <v>223</v>
      </c>
      <c r="C20" s="9" t="s">
        <v>112</v>
      </c>
      <c r="D20" s="11">
        <v>3165490</v>
      </c>
      <c r="E20" s="9"/>
    </row>
    <row r="21" spans="1:5" x14ac:dyDescent="0.25">
      <c r="A21" s="10" t="s">
        <v>77</v>
      </c>
      <c r="B21" s="9" t="s">
        <v>77</v>
      </c>
      <c r="C21" s="9" t="s">
        <v>78</v>
      </c>
      <c r="D21" s="11">
        <v>1557412</v>
      </c>
      <c r="E21" s="9"/>
    </row>
    <row r="22" spans="1:5" x14ac:dyDescent="0.25">
      <c r="A22" s="10" t="s">
        <v>224</v>
      </c>
      <c r="B22" s="9" t="s">
        <v>224</v>
      </c>
      <c r="C22" s="9" t="s">
        <v>85</v>
      </c>
      <c r="D22" s="11">
        <v>2851703</v>
      </c>
      <c r="E22" s="9"/>
    </row>
    <row r="23" spans="1:5" x14ac:dyDescent="0.25">
      <c r="A23" s="10" t="s">
        <v>225</v>
      </c>
      <c r="B23" s="9" t="s">
        <v>225</v>
      </c>
      <c r="C23" s="9" t="s">
        <v>122</v>
      </c>
      <c r="D23" s="11">
        <v>114111</v>
      </c>
      <c r="E23" s="9"/>
    </row>
    <row r="24" spans="1:5" x14ac:dyDescent="0.25">
      <c r="A24" s="10" t="s">
        <v>226</v>
      </c>
      <c r="B24" s="9" t="s">
        <v>226</v>
      </c>
      <c r="C24" s="9" t="s">
        <v>122</v>
      </c>
      <c r="D24" s="11">
        <v>148267</v>
      </c>
      <c r="E24" s="9"/>
    </row>
    <row r="25" spans="1:5" x14ac:dyDescent="0.25">
      <c r="A25" s="10" t="s">
        <v>227</v>
      </c>
      <c r="B25" s="9" t="s">
        <v>227</v>
      </c>
      <c r="C25" s="9" t="s">
        <v>122</v>
      </c>
      <c r="D25" s="11">
        <v>29847</v>
      </c>
      <c r="E25" s="9"/>
    </row>
    <row r="26" spans="1:5" x14ac:dyDescent="0.25">
      <c r="A26" s="10" t="s">
        <v>94</v>
      </c>
      <c r="B26" s="9" t="s">
        <v>94</v>
      </c>
      <c r="C26" s="9" t="s">
        <v>95</v>
      </c>
      <c r="D26" s="11">
        <v>108962</v>
      </c>
      <c r="E26" s="9"/>
    </row>
    <row r="27" spans="1:5" x14ac:dyDescent="0.25">
      <c r="A27" s="10" t="s">
        <v>142</v>
      </c>
      <c r="B27" s="9" t="s">
        <v>142</v>
      </c>
      <c r="C27" s="9" t="s">
        <v>122</v>
      </c>
      <c r="D27" s="11">
        <v>382026</v>
      </c>
      <c r="E27" s="9"/>
    </row>
    <row r="28" spans="1:5" x14ac:dyDescent="0.25">
      <c r="A28" s="10" t="s">
        <v>228</v>
      </c>
      <c r="B28" s="9" t="s">
        <v>228</v>
      </c>
      <c r="C28" s="9" t="s">
        <v>112</v>
      </c>
      <c r="D28" s="11">
        <v>96</v>
      </c>
      <c r="E28" s="9"/>
    </row>
    <row r="29" spans="1:5" x14ac:dyDescent="0.25">
      <c r="A29" s="10" t="s">
        <v>160</v>
      </c>
      <c r="B29" s="9" t="s">
        <v>160</v>
      </c>
      <c r="C29" s="9" t="s">
        <v>130</v>
      </c>
      <c r="D29" s="11">
        <v>3679149</v>
      </c>
      <c r="E29" s="9"/>
    </row>
    <row r="30" spans="1:5" x14ac:dyDescent="0.25">
      <c r="A30" s="10" t="s">
        <v>229</v>
      </c>
      <c r="B30" s="9" t="s">
        <v>229</v>
      </c>
      <c r="C30" s="9" t="s">
        <v>130</v>
      </c>
      <c r="D30" s="11">
        <v>5115078</v>
      </c>
      <c r="E30" s="9"/>
    </row>
    <row r="31" spans="1:5" x14ac:dyDescent="0.25">
      <c r="A31" s="10" t="s">
        <v>230</v>
      </c>
      <c r="B31" s="9" t="s">
        <v>230</v>
      </c>
      <c r="C31" s="9" t="s">
        <v>122</v>
      </c>
      <c r="D31" s="11">
        <v>6401</v>
      </c>
      <c r="E31" s="9"/>
    </row>
    <row r="32" spans="1:5" x14ac:dyDescent="0.25">
      <c r="A32" s="10" t="s">
        <v>153</v>
      </c>
      <c r="B32" s="9" t="s">
        <v>153</v>
      </c>
      <c r="C32" s="9" t="s">
        <v>112</v>
      </c>
      <c r="D32" s="11">
        <v>1494174</v>
      </c>
      <c r="E32" s="9"/>
    </row>
    <row r="33" spans="1:5" x14ac:dyDescent="0.25">
      <c r="A33" s="10" t="s">
        <v>231</v>
      </c>
      <c r="B33" s="9" t="s">
        <v>231</v>
      </c>
      <c r="C33" s="9" t="s">
        <v>112</v>
      </c>
      <c r="D33" s="11">
        <v>1875031</v>
      </c>
      <c r="E33" s="9"/>
    </row>
    <row r="34" spans="1:5" x14ac:dyDescent="0.25">
      <c r="A34" s="10" t="s">
        <v>232</v>
      </c>
      <c r="B34" s="9" t="s">
        <v>232</v>
      </c>
      <c r="C34" s="9" t="s">
        <v>95</v>
      </c>
      <c r="D34" s="11">
        <v>626096</v>
      </c>
      <c r="E34" s="9"/>
    </row>
    <row r="35" spans="1:5" x14ac:dyDescent="0.25">
      <c r="A35" s="10" t="s">
        <v>48</v>
      </c>
      <c r="B35" s="9" t="s">
        <v>48</v>
      </c>
      <c r="C35" s="9" t="s">
        <v>130</v>
      </c>
      <c r="D35" s="11">
        <v>3780794</v>
      </c>
      <c r="E35" s="9"/>
    </row>
    <row r="36" spans="1:5" x14ac:dyDescent="0.25">
      <c r="A36" s="10" t="s">
        <v>233</v>
      </c>
      <c r="B36" s="9" t="s">
        <v>233</v>
      </c>
      <c r="C36" s="9" t="s">
        <v>130</v>
      </c>
      <c r="D36" s="11">
        <v>17062</v>
      </c>
      <c r="E36" s="9"/>
    </row>
    <row r="37" spans="1:5" x14ac:dyDescent="0.25">
      <c r="A37" s="10" t="s">
        <v>64</v>
      </c>
      <c r="B37" s="9" t="s">
        <v>64</v>
      </c>
      <c r="C37" s="9" t="s">
        <v>122</v>
      </c>
      <c r="D37" s="11">
        <v>888663</v>
      </c>
      <c r="E37" s="9"/>
    </row>
    <row r="39" spans="1:5" x14ac:dyDescent="0.25">
      <c r="A39" s="14" t="s">
        <v>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6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22" customWidth="1"/>
    <col min="3" max="3" width="34" customWidth="1"/>
  </cols>
  <sheetData>
    <row r="1" spans="1:3" ht="26.25" x14ac:dyDescent="0.25">
      <c r="A1" s="15" t="s">
        <v>235</v>
      </c>
      <c r="B1" s="15" t="s">
        <v>236</v>
      </c>
      <c r="C1" s="15" t="s">
        <v>206</v>
      </c>
    </row>
    <row r="2" spans="1:3" x14ac:dyDescent="0.25">
      <c r="A2" s="14" t="s">
        <v>237</v>
      </c>
    </row>
    <row r="3" spans="1:3" x14ac:dyDescent="0.25">
      <c r="A3" s="10" t="s">
        <v>238</v>
      </c>
      <c r="B3" s="9"/>
      <c r="C3" s="16"/>
    </row>
    <row r="4" spans="1:3" x14ac:dyDescent="0.25">
      <c r="A4" s="10" t="s">
        <v>239</v>
      </c>
      <c r="B4" s="9"/>
      <c r="C4" s="16"/>
    </row>
    <row r="5" spans="1:3" x14ac:dyDescent="0.25">
      <c r="A5" s="10" t="s">
        <v>240</v>
      </c>
      <c r="B5" s="9"/>
      <c r="C5" s="16"/>
    </row>
    <row r="6" spans="1:3" x14ac:dyDescent="0.25">
      <c r="A6" s="10" t="s">
        <v>241</v>
      </c>
      <c r="B6" s="9"/>
      <c r="C6" s="16"/>
    </row>
    <row r="7" spans="1:3" x14ac:dyDescent="0.25">
      <c r="A7" s="10" t="s">
        <v>242</v>
      </c>
      <c r="B7" s="9"/>
      <c r="C7" s="16"/>
    </row>
    <row r="8" spans="1:3" x14ac:dyDescent="0.25">
      <c r="A8" s="10" t="s">
        <v>243</v>
      </c>
      <c r="B8" s="9"/>
      <c r="C8" s="16"/>
    </row>
    <row r="9" spans="1:3" x14ac:dyDescent="0.25">
      <c r="A9" s="10" t="s">
        <v>244</v>
      </c>
      <c r="B9" s="9"/>
      <c r="C9" s="16"/>
    </row>
    <row r="10" spans="1:3" x14ac:dyDescent="0.25">
      <c r="A10" s="10" t="s">
        <v>245</v>
      </c>
      <c r="B10" s="9"/>
      <c r="C10" s="16"/>
    </row>
    <row r="11" spans="1:3" x14ac:dyDescent="0.25">
      <c r="A11" s="10" t="s">
        <v>63</v>
      </c>
      <c r="B11" s="9"/>
      <c r="C11" s="16"/>
    </row>
    <row r="12" spans="1:3" x14ac:dyDescent="0.25">
      <c r="A12" s="10" t="s">
        <v>246</v>
      </c>
      <c r="B12" s="9"/>
      <c r="C12" s="16"/>
    </row>
    <row r="13" spans="1:3" x14ac:dyDescent="0.25">
      <c r="A13" s="10" t="s">
        <v>247</v>
      </c>
      <c r="B13" s="9"/>
      <c r="C13" s="16"/>
    </row>
    <row r="14" spans="1:3" x14ac:dyDescent="0.25">
      <c r="A14" s="10" t="s">
        <v>248</v>
      </c>
      <c r="B14" s="9"/>
      <c r="C14" s="16"/>
    </row>
    <row r="15" spans="1:3" x14ac:dyDescent="0.25">
      <c r="A15" s="10" t="s">
        <v>249</v>
      </c>
      <c r="B15" s="9"/>
      <c r="C15" s="16"/>
    </row>
    <row r="16" spans="1:3" x14ac:dyDescent="0.25">
      <c r="A16" s="10" t="s">
        <v>250</v>
      </c>
      <c r="B16" s="9"/>
      <c r="C16" s="16"/>
    </row>
    <row r="17" spans="1:3" x14ac:dyDescent="0.25">
      <c r="A17" s="10" t="s">
        <v>80</v>
      </c>
      <c r="B17" s="9"/>
      <c r="C17" s="16"/>
    </row>
    <row r="18" spans="1:3" x14ac:dyDescent="0.25">
      <c r="A18" s="10" t="s">
        <v>251</v>
      </c>
      <c r="B18" s="9"/>
      <c r="C18" s="16"/>
    </row>
    <row r="19" spans="1:3" x14ac:dyDescent="0.25">
      <c r="A19" s="10" t="s">
        <v>252</v>
      </c>
      <c r="B19" s="9"/>
      <c r="C19" s="16"/>
    </row>
    <row r="20" spans="1:3" x14ac:dyDescent="0.25">
      <c r="A20" s="10" t="s">
        <v>253</v>
      </c>
      <c r="B20" s="9"/>
      <c r="C20" s="16"/>
    </row>
    <row r="21" spans="1:3" x14ac:dyDescent="0.25">
      <c r="A21" s="10" t="s">
        <v>254</v>
      </c>
      <c r="B21" s="9"/>
      <c r="C21" s="16"/>
    </row>
    <row r="22" spans="1:3" x14ac:dyDescent="0.25">
      <c r="A22" s="10" t="s">
        <v>255</v>
      </c>
      <c r="B22" s="9"/>
      <c r="C22" s="16"/>
    </row>
    <row r="23" spans="1:3" x14ac:dyDescent="0.25">
      <c r="A23" s="10" t="s">
        <v>97</v>
      </c>
      <c r="B23" s="9"/>
      <c r="C23" s="16"/>
    </row>
    <row r="24" spans="1:3" x14ac:dyDescent="0.25">
      <c r="A24" s="10" t="s">
        <v>256</v>
      </c>
      <c r="B24" s="9"/>
      <c r="C24" s="16"/>
    </row>
    <row r="25" spans="1:3" x14ac:dyDescent="0.25">
      <c r="A25" s="10" t="s">
        <v>257</v>
      </c>
      <c r="B25" s="9"/>
      <c r="C25" s="16"/>
    </row>
    <row r="26" spans="1:3" x14ac:dyDescent="0.25">
      <c r="A26" s="10" t="s">
        <v>258</v>
      </c>
      <c r="B26" s="9"/>
      <c r="C26" s="16"/>
    </row>
    <row r="27" spans="1:3" x14ac:dyDescent="0.25">
      <c r="A27" s="10" t="s">
        <v>259</v>
      </c>
      <c r="B27" s="9"/>
      <c r="C27" s="16"/>
    </row>
    <row r="28" spans="1:3" x14ac:dyDescent="0.25">
      <c r="A28" s="10" t="s">
        <v>260</v>
      </c>
      <c r="B28" s="9"/>
      <c r="C28" s="16"/>
    </row>
    <row r="29" spans="1:3" x14ac:dyDescent="0.25">
      <c r="A29" s="10" t="s">
        <v>261</v>
      </c>
      <c r="B29" s="9"/>
      <c r="C29" s="16"/>
    </row>
    <row r="30" spans="1:3" x14ac:dyDescent="0.25">
      <c r="A30" s="10" t="s">
        <v>262</v>
      </c>
      <c r="B30" s="9"/>
      <c r="C30" s="16"/>
    </row>
    <row r="31" spans="1:3" x14ac:dyDescent="0.25">
      <c r="A31" s="10" t="s">
        <v>263</v>
      </c>
      <c r="B31" s="9"/>
      <c r="C31" s="16"/>
    </row>
    <row r="32" spans="1:3" x14ac:dyDescent="0.25">
      <c r="A32" s="10" t="s">
        <v>264</v>
      </c>
      <c r="B32" s="9"/>
      <c r="C32" s="16"/>
    </row>
    <row r="33" spans="1:3" x14ac:dyDescent="0.25">
      <c r="A33" s="10" t="s">
        <v>265</v>
      </c>
      <c r="B33" s="9"/>
      <c r="C33" s="16"/>
    </row>
    <row r="34" spans="1:3" x14ac:dyDescent="0.25">
      <c r="A34" s="10" t="s">
        <v>266</v>
      </c>
      <c r="B34" s="9"/>
      <c r="C34" s="16"/>
    </row>
    <row r="35" spans="1:3" x14ac:dyDescent="0.25">
      <c r="A35" s="10" t="s">
        <v>267</v>
      </c>
      <c r="B35" s="9"/>
      <c r="C35" s="16"/>
    </row>
    <row r="36" spans="1:3" x14ac:dyDescent="0.25">
      <c r="A36" s="10" t="s">
        <v>268</v>
      </c>
      <c r="B36" s="9"/>
      <c r="C36" s="16"/>
    </row>
    <row r="37" spans="1:3" x14ac:dyDescent="0.25">
      <c r="A37" s="10" t="s">
        <v>269</v>
      </c>
      <c r="B37" s="9"/>
      <c r="C37" s="16"/>
    </row>
    <row r="38" spans="1:3" x14ac:dyDescent="0.25">
      <c r="A38" s="10" t="s">
        <v>270</v>
      </c>
      <c r="B38" s="9"/>
      <c r="C38" s="16"/>
    </row>
    <row r="39" spans="1:3" x14ac:dyDescent="0.25">
      <c r="A39" s="10" t="s">
        <v>271</v>
      </c>
      <c r="B39" s="9"/>
      <c r="C39" s="16"/>
    </row>
    <row r="40" spans="1:3" x14ac:dyDescent="0.25">
      <c r="A40" s="10" t="s">
        <v>127</v>
      </c>
      <c r="B40" s="9"/>
      <c r="C40" s="16"/>
    </row>
    <row r="41" spans="1:3" x14ac:dyDescent="0.25">
      <c r="A41" s="10" t="s">
        <v>272</v>
      </c>
      <c r="B41" s="9"/>
      <c r="C41" s="16"/>
    </row>
    <row r="42" spans="1:3" x14ac:dyDescent="0.25">
      <c r="A42" s="10" t="s">
        <v>273</v>
      </c>
      <c r="B42" s="9"/>
      <c r="C42" s="16"/>
    </row>
    <row r="43" spans="1:3" x14ac:dyDescent="0.25">
      <c r="A43" s="10" t="s">
        <v>274</v>
      </c>
      <c r="B43" s="9"/>
      <c r="C43" s="16"/>
    </row>
    <row r="44" spans="1:3" x14ac:dyDescent="0.25">
      <c r="A44" s="10" t="s">
        <v>275</v>
      </c>
      <c r="B44" s="9"/>
      <c r="C44" s="16"/>
    </row>
    <row r="45" spans="1:3" x14ac:dyDescent="0.25">
      <c r="A45" s="10" t="s">
        <v>276</v>
      </c>
      <c r="B45" s="9"/>
      <c r="C45" s="16"/>
    </row>
    <row r="46" spans="1:3" x14ac:dyDescent="0.25">
      <c r="A46" s="10" t="s">
        <v>277</v>
      </c>
      <c r="B46" s="9"/>
      <c r="C46" s="16"/>
    </row>
    <row r="47" spans="1:3" x14ac:dyDescent="0.25">
      <c r="A47" s="10" t="s">
        <v>278</v>
      </c>
      <c r="B47" s="9"/>
      <c r="C47" s="16"/>
    </row>
    <row r="48" spans="1:3" x14ac:dyDescent="0.25">
      <c r="A48" s="10" t="s">
        <v>279</v>
      </c>
      <c r="B48" s="9"/>
      <c r="C48" s="16"/>
    </row>
    <row r="49" spans="1:3" x14ac:dyDescent="0.25">
      <c r="A49" s="10" t="s">
        <v>280</v>
      </c>
      <c r="B49" s="9"/>
      <c r="C49" s="16"/>
    </row>
    <row r="50" spans="1:3" x14ac:dyDescent="0.25">
      <c r="A50" s="10" t="s">
        <v>281</v>
      </c>
      <c r="B50" s="9"/>
      <c r="C50" s="16"/>
    </row>
    <row r="51" spans="1:3" x14ac:dyDescent="0.25">
      <c r="A51" s="10" t="s">
        <v>282</v>
      </c>
      <c r="B51" s="9"/>
      <c r="C51" s="16"/>
    </row>
    <row r="52" spans="1:3" x14ac:dyDescent="0.25">
      <c r="A52" s="10" t="s">
        <v>283</v>
      </c>
      <c r="B52" s="9"/>
      <c r="C52" s="16"/>
    </row>
    <row r="53" spans="1:3" x14ac:dyDescent="0.25">
      <c r="A53" s="10" t="s">
        <v>284</v>
      </c>
      <c r="B53" s="9"/>
      <c r="C53" s="16"/>
    </row>
    <row r="54" spans="1:3" x14ac:dyDescent="0.25">
      <c r="A54" s="10" t="s">
        <v>285</v>
      </c>
      <c r="B54" s="9"/>
      <c r="C54" s="16"/>
    </row>
    <row r="55" spans="1:3" x14ac:dyDescent="0.25">
      <c r="A55" s="10" t="s">
        <v>286</v>
      </c>
      <c r="B55" s="9"/>
      <c r="C55" s="16"/>
    </row>
    <row r="56" spans="1:3" x14ac:dyDescent="0.25">
      <c r="A56" s="10" t="s">
        <v>287</v>
      </c>
      <c r="B56" s="9"/>
      <c r="C56" s="16"/>
    </row>
    <row r="57" spans="1:3" x14ac:dyDescent="0.25">
      <c r="A57" s="10" t="s">
        <v>288</v>
      </c>
      <c r="B57" s="9"/>
      <c r="C57" s="16"/>
    </row>
    <row r="58" spans="1:3" x14ac:dyDescent="0.25">
      <c r="A58" s="10" t="s">
        <v>289</v>
      </c>
      <c r="B58" s="9"/>
      <c r="C58" s="16"/>
    </row>
    <row r="59" spans="1:3" x14ac:dyDescent="0.25">
      <c r="A59" s="10" t="s">
        <v>290</v>
      </c>
      <c r="B59" s="9"/>
      <c r="C59" s="16"/>
    </row>
    <row r="60" spans="1:3" x14ac:dyDescent="0.25">
      <c r="A60" s="10" t="s">
        <v>163</v>
      </c>
      <c r="B60" s="9"/>
      <c r="C60" s="16"/>
    </row>
    <row r="61" spans="1:3" x14ac:dyDescent="0.25">
      <c r="A61" s="10" t="s">
        <v>291</v>
      </c>
      <c r="B61" s="9"/>
      <c r="C61" s="16"/>
    </row>
    <row r="62" spans="1:3" x14ac:dyDescent="0.25">
      <c r="A62" s="10" t="s">
        <v>292</v>
      </c>
      <c r="B62" s="9"/>
      <c r="C62" s="16"/>
    </row>
    <row r="63" spans="1:3" x14ac:dyDescent="0.25">
      <c r="A63" s="10" t="s">
        <v>293</v>
      </c>
      <c r="B63" s="9"/>
      <c r="C63" s="16"/>
    </row>
    <row r="64" spans="1:3" x14ac:dyDescent="0.25">
      <c r="A64" s="10" t="s">
        <v>294</v>
      </c>
      <c r="B64" s="9"/>
      <c r="C64" s="16"/>
    </row>
    <row r="65" spans="1:3" x14ac:dyDescent="0.25">
      <c r="A65" s="10" t="s">
        <v>295</v>
      </c>
      <c r="B65" s="9"/>
      <c r="C65" s="16"/>
    </row>
    <row r="66" spans="1:3" x14ac:dyDescent="0.25">
      <c r="A66" s="10" t="s">
        <v>296</v>
      </c>
      <c r="B66" s="9"/>
      <c r="C66" s="16"/>
    </row>
    <row r="67" spans="1:3" x14ac:dyDescent="0.25">
      <c r="A67" s="10" t="s">
        <v>297</v>
      </c>
      <c r="B67" s="9"/>
      <c r="C67" s="16"/>
    </row>
    <row r="68" spans="1:3" x14ac:dyDescent="0.25">
      <c r="A68" s="10" t="s">
        <v>298</v>
      </c>
      <c r="B68" s="9"/>
      <c r="C68" s="16"/>
    </row>
    <row r="69" spans="1:3" x14ac:dyDescent="0.25">
      <c r="A69" s="10" t="s">
        <v>169</v>
      </c>
      <c r="B69" s="9"/>
      <c r="C69" s="16"/>
    </row>
    <row r="70" spans="1:3" x14ac:dyDescent="0.25">
      <c r="A70" s="10" t="s">
        <v>299</v>
      </c>
      <c r="B70" s="9"/>
      <c r="C70" s="16"/>
    </row>
    <row r="71" spans="1:3" x14ac:dyDescent="0.25">
      <c r="A71" s="10" t="s">
        <v>300</v>
      </c>
      <c r="B71" s="9"/>
      <c r="C71" s="16"/>
    </row>
    <row r="72" spans="1:3" x14ac:dyDescent="0.25">
      <c r="A72" s="10" t="s">
        <v>185</v>
      </c>
      <c r="B72" s="9"/>
      <c r="C72" s="16"/>
    </row>
    <row r="73" spans="1:3" x14ac:dyDescent="0.25">
      <c r="A73" s="10" t="s">
        <v>301</v>
      </c>
      <c r="B73" s="9"/>
      <c r="C73" s="16"/>
    </row>
    <row r="74" spans="1:3" x14ac:dyDescent="0.25">
      <c r="A74" s="10" t="s">
        <v>302</v>
      </c>
      <c r="B74" s="9"/>
      <c r="C74" s="16"/>
    </row>
    <row r="75" spans="1:3" x14ac:dyDescent="0.25">
      <c r="A75" s="10" t="s">
        <v>303</v>
      </c>
      <c r="B75" s="9"/>
      <c r="C75" s="16"/>
    </row>
    <row r="76" spans="1:3" x14ac:dyDescent="0.25">
      <c r="A76" s="10" t="s">
        <v>304</v>
      </c>
      <c r="B76" s="9"/>
      <c r="C76" s="16"/>
    </row>
    <row r="77" spans="1:3" x14ac:dyDescent="0.25">
      <c r="A77" s="10" t="s">
        <v>305</v>
      </c>
      <c r="B77" s="9"/>
      <c r="C77" s="16"/>
    </row>
    <row r="78" spans="1:3" x14ac:dyDescent="0.25">
      <c r="A78" s="10" t="s">
        <v>306</v>
      </c>
      <c r="B78" s="9"/>
      <c r="C78" s="16"/>
    </row>
    <row r="79" spans="1:3" x14ac:dyDescent="0.25">
      <c r="A79" s="10" t="s">
        <v>307</v>
      </c>
      <c r="B79" s="9"/>
      <c r="C79" s="16"/>
    </row>
    <row r="80" spans="1:3" x14ac:dyDescent="0.25">
      <c r="A80" s="10" t="s">
        <v>308</v>
      </c>
      <c r="B80" s="9"/>
      <c r="C80" s="16"/>
    </row>
    <row r="81" spans="1:3" x14ac:dyDescent="0.25">
      <c r="A81" s="10" t="s">
        <v>309</v>
      </c>
      <c r="B81" s="9"/>
      <c r="C81" s="16"/>
    </row>
    <row r="82" spans="1:3" x14ac:dyDescent="0.25">
      <c r="A82" s="10" t="s">
        <v>310</v>
      </c>
      <c r="B82" s="9"/>
      <c r="C82" s="16"/>
    </row>
    <row r="83" spans="1:3" x14ac:dyDescent="0.25">
      <c r="A83" s="10" t="s">
        <v>311</v>
      </c>
      <c r="B83" s="9"/>
      <c r="C83" s="16"/>
    </row>
    <row r="84" spans="1:3" x14ac:dyDescent="0.25">
      <c r="A84" s="10" t="s">
        <v>312</v>
      </c>
      <c r="B84" s="9"/>
      <c r="C84" s="16"/>
    </row>
    <row r="85" spans="1:3" x14ac:dyDescent="0.25">
      <c r="A85" s="10" t="s">
        <v>313</v>
      </c>
      <c r="B85" s="9"/>
      <c r="C85" s="16"/>
    </row>
    <row r="86" spans="1:3" x14ac:dyDescent="0.25">
      <c r="A86" s="10" t="s">
        <v>314</v>
      </c>
      <c r="B86" s="9"/>
      <c r="C86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HOD_MASTER</vt:lpstr>
      <vt:lpstr>STATE_MASTER</vt:lpstr>
      <vt:lpstr>SALES_PERSON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Gupta</cp:lastModifiedBy>
  <dcterms:created xsi:type="dcterms:W3CDTF">2026-08-04T05:40:28Z</dcterms:created>
  <dcterms:modified xsi:type="dcterms:W3CDTF">2026-08-04T05:51:03Z</dcterms:modified>
</cp:coreProperties>
</file>